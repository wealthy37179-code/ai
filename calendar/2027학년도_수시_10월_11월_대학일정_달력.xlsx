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07C132D-A7F3-4D4F-BAC5-632A5DEB9FB3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10월 달력" sheetId="1" r:id="rId1"/>
    <sheet name="11월 달력" sheetId="2" r:id="rId2"/>
    <sheet name="전체 일정" sheetId="3" r:id="rId3"/>
    <sheet name="12월 이후" sheetId="4" r:id="rId4"/>
    <sheet name="지원 목록" sheetId="5" r:id="rId5"/>
    <sheet name="출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D3" i="3"/>
  <c r="B3" i="3"/>
</calcChain>
</file>

<file path=xl/sharedStrings.xml><?xml version="1.0" encoding="utf-8"?>
<sst xmlns="http://schemas.openxmlformats.org/spreadsheetml/2006/main" count="1785" uniqueCount="495">
  <si>
    <t>2027학년도 수시 일정  |  2026년 10월</t>
  </si>
  <si>
    <t>※ 관심대학 리스트를 기준으로 2027학년도(2026년 시행) 대학 입학처 일정과 대조했습니다. 개인별 고사시간·고사장은 각 대학의 최종 공지를 반드시 다시 확인하세요.</t>
  </si>
  <si>
    <t>색상 구분  |  1단계 발표: 파랑   면접: 초록   실기: 주황   복합일정: 보라</t>
  </si>
  <si>
    <t>일</t>
  </si>
  <si>
    <t>월</t>
  </si>
  <si>
    <t>화</t>
  </si>
  <si>
    <t>수</t>
  </si>
  <si>
    <t>목</t>
  </si>
  <si>
    <t>금</t>
  </si>
  <si>
    <t>토</t>
  </si>
  <si>
    <t>1
[실기] 이가예 · 세한대
  AI융합콘텐츠학 부</t>
  </si>
  <si>
    <t>2
[1단계] 우해나 · 안양대
  게임콘텐츠학과
[1단계] 조혜원 · 인천가톨릭대 학교(송도) 11:00
  융합디자인학과
[실기] 장리아 · 서경대 10/2~10/11
  영화영상학과</t>
  </si>
  <si>
    <t>3
[실기] 장리아 · 성결대 10/3~10/5
  영화영상학과
[실기] 장리아 · 숭실대 10/3~10/4
  예술창작학부 영화예술전공
[실기] 최선호 · 대전대
  웹툰애니메이션 학과</t>
  </si>
  <si>
    <t>4</t>
  </si>
  <si>
    <t>5
[실기] 최예라 · 수원대
  조형예술학부</t>
  </si>
  <si>
    <t>6</t>
  </si>
  <si>
    <t>7</t>
  </si>
  <si>
    <t>8</t>
  </si>
  <si>
    <t>9
[실기] 장리아 · 수원대 10/9~10/11
  영화예술</t>
  </si>
  <si>
    <t>10
[면접] 우해나 · 안양대
  게임콘텐츠학과</t>
  </si>
  <si>
    <t>11</t>
  </si>
  <si>
    <t>12</t>
  </si>
  <si>
    <t>13
[1단계] 장리아 · 숭실대
  예술창작학부 영화예술전공</t>
  </si>
  <si>
    <t>14
[1단계] 장리아 · 서경대 16:00
  영화영상학과</t>
  </si>
  <si>
    <t>15</t>
  </si>
  <si>
    <t>16
[실기] 조혜원 · 국립한밭대학 교(대전)
  산업디자인학과</t>
  </si>
  <si>
    <t>17
[면접] 이민우 · 건양대
  방위산업공학전 공
[실기] 이가예 · 목원대
  웹툰학과
[실기] 장리아 · 서경대
  영화영상학과</t>
  </si>
  <si>
    <t>18</t>
  </si>
  <si>
    <t>19</t>
  </si>
  <si>
    <t>20
[1단계] 조혜원 · 단국대(죽전) 18:00
  디자인학부 패 션산업디자인전 공
[1단계] 하시헌 · 성균관대 (수원)
  스포츠과학과
[실기] 최예라 · 부산대
  미술학과 조소 전공</t>
  </si>
  <si>
    <t>21</t>
  </si>
  <si>
    <t>22</t>
  </si>
  <si>
    <t>23</t>
  </si>
  <si>
    <t>24
[실기] 장리아 · 숭실대 10/24~10/25
  예술창작학부 영화예술전공</t>
  </si>
  <si>
    <t>25
[면접] 하시헌 · 성균관대 (수원)
  스포츠과학과</t>
  </si>
  <si>
    <t>26
[실기] 이가예 · 청주대 10/26~10/27
  만화애니메이션 학과</t>
  </si>
  <si>
    <t>27</t>
  </si>
  <si>
    <t>28</t>
  </si>
  <si>
    <t>29
[면접] 이민우 · 한서대
  방사선학과</t>
  </si>
  <si>
    <t>30
[실기] 이가예 · 서원대
  웹툰콘텐츠학과
[실기] 최예라 · 경북대
  미술학과(한국 화전공, 서양화 전공, 조소전공 , 조형예술이론 전공)</t>
  </si>
  <si>
    <t>31
[실기] 이가예 · 배재대
  아트앤웹툰학부 (아트앤웹툰)
[실기] 조혜원 · 인천가톨릭대 학교(송도) 10:00
  융합디자인학과</t>
  </si>
  <si>
    <t>10월 일정 27건  |  1단계 6건  ·  면접 4건  ·  실기 17건</t>
  </si>
  <si>
    <t>2027학년도 수시 일정  |  2026년 11월</t>
  </si>
  <si>
    <t>1
[실기] 최예라 · 충남대
  조소과</t>
  </si>
  <si>
    <t>2</t>
  </si>
  <si>
    <t>3</t>
  </si>
  <si>
    <t>5</t>
  </si>
  <si>
    <t>6
[1단계] 한우림 · 국립한밭대학 교(대전) 15:00 이후
  도시공학과</t>
  </si>
  <si>
    <t>9</t>
  </si>
  <si>
    <t>10</t>
  </si>
  <si>
    <t>12
[실기] 조혜원 · 전북대
  미술학과(가구 조형디자인)
[실기] 최예라 · 전북대
  미술학과(한국 화, 회화/시각 예술, 조소/공 공미술)</t>
  </si>
  <si>
    <t>13
[1단계] 명균호 · 전남대 15:00
  물리학과
[1단계] 조혜원 · 전남대 15:00
  디자인학과
[1단계] 최예라 · 전남대 15:00
  미술학과(조소 전공)</t>
  </si>
  <si>
    <t>14</t>
  </si>
  <si>
    <t>15
[실기] 조혜원 · 단국대(죽전) 10:30~15:30
  디자인학부 패 션산업디자인전 공</t>
  </si>
  <si>
    <t>16</t>
  </si>
  <si>
    <t>17</t>
  </si>
  <si>
    <t>18
[1단계] 최현서 · 을지대
  간호학과</t>
  </si>
  <si>
    <t>19
[1단계] 고다연 · 건국대(글로컬)
  사회복지학과</t>
  </si>
  <si>
    <t>20
[1단계] 명균호 · 단국대(죽전) 18:00
  전자전기공학과
[1단계] 명균호 · 충남대 15:00
  자율운항시스템 공학과
[1단계] 유예영 · 전북대 14:00
  생활과학계열
[1단계] 임지효 · 서울과학기술 대(서울) 14:00
  바이오메디컬학 과
[1단계] 임지효 · 충남대 15:00
  생명정보융합학 과
[1단계] 조은찬 · 건국대(서울) 14:00
  KU자유전공학부
[1단계] 조은찬 · 서울시립대학 교(서울)
  물리학과
[1단계] 조은찬 · 충남대 15:00
  기계공학교육과
[1단계] 최현서 · 울산대 16:00
  간호학과
[1단계] 최현서 · 충남대 15:00
  간호학과
[1단계] 하시헌 · 서울시립대학 교(서울)
  스포츠과학과
[면접] 한우림 · 국립한밭대학 교(대전)
  도시공학과</t>
  </si>
  <si>
    <t>21
[면접] 최현서 · 을지대
  간호학과</t>
  </si>
  <si>
    <t>24
[실기] 조혜원 · 전남대
  디자인학과
[실기] 최예라 · 전남대
  미술학과(조소 전공)</t>
  </si>
  <si>
    <t>25
[1단계] 임지효 · 서울여자대학 교(서울) 18:00
  생명환경공학과
[1단계] 천지은 · 경희대(서울) 18:00
  경영회계계열
[1단계] 하시헌 · 경희대(국제) 18:00
  스포츠의학과</t>
  </si>
  <si>
    <t>26
[1단계] 조은찬 · 중앙대(서울) 14:00
  에너지시스템공 학부
[면접] 유예영 · 전북대
  생활과학계열</t>
  </si>
  <si>
    <t>28
[면접] 고다연 · 건국대(글로컬) 11/28~11/29
  사회복지학과
[면접] 임지효 · 서울과학기술 대(서울)
  바이오메디컬학 과
[면접] 임지효 · 서울여자대학 교(서울)
  생명환경공학과
[면접] 최현서 · 울산대
  간호학과
[면접] 하시헌 · 서울시립대학 교(서울) 10:00
  스포츠과학과</t>
  </si>
  <si>
    <t>29
[면접] 조은찬 · 서울시립대학 교(서울) 10:00
  물리학과</t>
  </si>
  <si>
    <t>30</t>
  </si>
  <si>
    <t>11월 일정 36건  |  1단계 21건  ·  면접 9건  ·  실기 6건</t>
  </si>
  <si>
    <t>2027학년도 수시 관심대학 일정 — 전체 관리표</t>
  </si>
  <si>
    <t>10·11월 달력의 상세 근거표입니다. 12월 면접도 누락되지 않도록 함께 정리했습니다.</t>
  </si>
  <si>
    <t>10월 일정</t>
  </si>
  <si>
    <t>11월 일정</t>
  </si>
  <si>
    <t>12월 이후</t>
  </si>
  <si>
    <t>날짜</t>
  </si>
  <si>
    <t>종료일</t>
  </si>
  <si>
    <t>구분</t>
  </si>
  <si>
    <t>단계/내용</t>
  </si>
  <si>
    <t>학생</t>
  </si>
  <si>
    <t>대학</t>
  </si>
  <si>
    <t>모집단위</t>
  </si>
  <si>
    <t>세부전형</t>
  </si>
  <si>
    <t>시간</t>
  </si>
  <si>
    <t>비고</t>
  </si>
  <si>
    <t>검증상태</t>
  </si>
  <si>
    <t>공식 입학처/근거 URL</t>
  </si>
  <si>
    <t>실기</t>
  </si>
  <si>
    <t>실기고사</t>
  </si>
  <si>
    <t>이가예</t>
  </si>
  <si>
    <t>세한대학교(당진)</t>
  </si>
  <si>
    <t>AI융합콘텐츠학 부</t>
  </si>
  <si>
    <t>실기/실적(일 반학생전형)</t>
  </si>
  <si>
    <t>입학처 모집요강 + 관심목록 교차확인</t>
  </si>
  <si>
    <t>https://ipsi.sehan.ac.kr</t>
  </si>
  <si>
    <t>1단계</t>
  </si>
  <si>
    <t>1단계 합격자 발표</t>
  </si>
  <si>
    <t>우해나</t>
  </si>
  <si>
    <t>안양대학교(강화)</t>
  </si>
  <si>
    <t>게임콘텐츠학과</t>
  </si>
  <si>
    <t>학생부교과(아리학생부면 접)</t>
  </si>
  <si>
    <t>입학처/모집요강 확인</t>
  </si>
  <si>
    <t>https://enter.anyang.ac.kr/10000021?bbs_seq=9147&amp;categorycode=0&amp;mode=view</t>
  </si>
  <si>
    <t>조혜원</t>
  </si>
  <si>
    <t>인천가톨릭대 학교(송도)</t>
  </si>
  <si>
    <t>융합디자인학과</t>
  </si>
  <si>
    <t>실기/실적(실 기우수자)</t>
  </si>
  <si>
    <t>11:00</t>
  </si>
  <si>
    <t>https://www.iccu.ac.kr</t>
  </si>
  <si>
    <t>1차 실기</t>
  </si>
  <si>
    <t>장리아</t>
  </si>
  <si>
    <t>서경대학교(서울)</t>
  </si>
  <si>
    <t>영화영상학과</t>
  </si>
  <si>
    <t>실기/실적위 주(실기우수 자(정원내)전 형)</t>
  </si>
  <si>
    <t>영화영상학과 1차 실기 기간</t>
  </si>
  <si>
    <t>입학처 모집요강 확인</t>
  </si>
  <si>
    <t>https://go.skuniv.ac.kr</t>
  </si>
  <si>
    <t>성결대학교(안양)</t>
  </si>
  <si>
    <t>실기/실적(실 기우수자전형)</t>
  </si>
  <si>
    <t>수험번호별 조별 시간·대기장소 별도 확인</t>
  </si>
  <si>
    <t>https://ipsi.sungkyul.ac.kr/10000006?bbs_seq=8395&amp;mode=view</t>
  </si>
  <si>
    <t>숭실대학교(서울)</t>
  </si>
  <si>
    <t>예술창작학부 영화예술전공</t>
  </si>
  <si>
    <t>실기/실적(예 체능우수인재 전형_연출)</t>
  </si>
  <si>
    <t>https://iphak.ssu.ac.kr/upload/SSU%281%29_26061215843.pdf</t>
  </si>
  <si>
    <t>최선호</t>
  </si>
  <si>
    <t>대전대학교(대전)</t>
  </si>
  <si>
    <t>웹툰애니메이션 학과</t>
  </si>
  <si>
    <t>실기/실적(실 기위주전형)</t>
  </si>
  <si>
    <t>https://ipsi.dju.ac.kr</t>
  </si>
  <si>
    <t>최예라</t>
  </si>
  <si>
    <t>수원대학교(수원)</t>
  </si>
  <si>
    <t>조형예술학부</t>
  </si>
  <si>
    <t>실기(실기우 수자(미술))</t>
  </si>
  <si>
    <t>조형예술학부는 입학처 세부일정 기준 10/5로 정리</t>
  </si>
  <si>
    <t>https://ipsi.suwon.ac.kr</t>
  </si>
  <si>
    <t>영화예술</t>
  </si>
  <si>
    <t>실기(실기우 수자(영화예 술))</t>
  </si>
  <si>
    <t>면접</t>
  </si>
  <si>
    <t>면접고사</t>
  </si>
  <si>
    <t>AI학부/자유전공 제외 전 계열 일정</t>
  </si>
  <si>
    <t>16:00</t>
  </si>
  <si>
    <t>국립한밭대학 교(대전)</t>
  </si>
  <si>
    <t>산업디자인학과</t>
  </si>
  <si>
    <t>실기/실적(실 기(일반)전형)</t>
  </si>
  <si>
    <t>https://www.hanbat.ac.kr/prog/bbsArticle/BBSMSTR_000000000052/view.do?mno=sub07_0401&amp;nttId=B000000170365Rg8uO4j</t>
  </si>
  <si>
    <t>이민우</t>
  </si>
  <si>
    <t>건양대학교(논산)</t>
  </si>
  <si>
    <t>방위산업공학전 공</t>
  </si>
  <si>
    <t>학생부교과(채용조건형 계약학과전형 [면접])</t>
  </si>
  <si>
    <t>관심목록에는 실기 칸에 표시되나 전형명 '[면접]' 기준으로 면접 분류</t>
  </si>
  <si>
    <t>https://ipsi.konyang.ac.kr</t>
  </si>
  <si>
    <t>목원대학교(대전)</t>
  </si>
  <si>
    <t>웹툰학과</t>
  </si>
  <si>
    <t>실기/실적위 주(실기전형)</t>
  </si>
  <si>
    <t>https://enter.mokwon.ac.kr</t>
  </si>
  <si>
    <t>2차 실기</t>
  </si>
  <si>
    <t>단국대학교(죽전)</t>
  </si>
  <si>
    <t>디자인학부 패 션산업디자인전 공</t>
  </si>
  <si>
    <t>18:00</t>
  </si>
  <si>
    <t>https://ipsi.dankook.ac.kr/jukjeon/notice/list.html?bbsid=juk_info&amp;bltn_seq=50954&amp;mode=view&amp;page=1</t>
  </si>
  <si>
    <t>1단계 합격자 발표/면접대상</t>
  </si>
  <si>
    <t>하시헌</t>
  </si>
  <si>
    <t>성균관대학교 (수원)</t>
  </si>
  <si>
    <t>스포츠과학과</t>
  </si>
  <si>
    <t>학생부종합(면접형)(성균 인재)</t>
  </si>
  <si>
    <t>2027 수시 모집요강 확인</t>
  </si>
  <si>
    <t>https://admission.skku.edu/upload/guide/20260529115520H43SMR.pdf</t>
  </si>
  <si>
    <t>부산대학교(부산)</t>
  </si>
  <si>
    <t>미술학과 조소 전공</t>
  </si>
  <si>
    <t>실기/실적(실 기전형)</t>
  </si>
  <si>
    <t>https://go.pusan.ac.kr/down/mojib/RF%280%29_260611154120.pdf</t>
  </si>
  <si>
    <t>2027 수시 모집요강 + 관심목록 교차확인</t>
  </si>
  <si>
    <t>청주대학교(청주)</t>
  </si>
  <si>
    <t>만화애니메이션 학과</t>
  </si>
  <si>
    <t>실기/실적위 주(예체능전 형)</t>
  </si>
  <si>
    <t>https://www.cju.ac.kr/ipsi/index.do</t>
  </si>
  <si>
    <t>한서대학교(서산)</t>
  </si>
  <si>
    <t>방사선학과</t>
  </si>
  <si>
    <t>한서인재전형</t>
  </si>
  <si>
    <t>https://helper.hanseo.ac.kr/_prog/_board/?code=notice&amp;menu_dvs_cd=0102&amp;mode=V&amp;no=34424&amp;site_dvs_cd=kr&amp;upr_ntt_no=34424</t>
  </si>
  <si>
    <t>서원대학교(청주)</t>
  </si>
  <si>
    <t>웹툰콘텐츠학과</t>
  </si>
  <si>
    <t>실기(예체능 전형)</t>
  </si>
  <si>
    <t>https://www.seowon.ac.kr/iphak/index.do</t>
  </si>
  <si>
    <t>경북대학교(대구)</t>
  </si>
  <si>
    <t>미술학과(한국 화전공, 서양화 전공, 조소전공 , 조형예술이론 전공)</t>
  </si>
  <si>
    <t>실기전형</t>
  </si>
  <si>
    <t>https://ipsi.knu.ac.kr</t>
  </si>
  <si>
    <t>배재대학교(대전)</t>
  </si>
  <si>
    <t>아트앤웹툰학부 (아트앤웹툰)</t>
  </si>
  <si>
    <t>실기/실적(예 술인재전형)</t>
  </si>
  <si>
    <t>https://enter.pcu.ac.kr/enter/contents/315</t>
  </si>
  <si>
    <t>10:00</t>
  </si>
  <si>
    <t>충남대학교(대전)</t>
  </si>
  <si>
    <t>조소과</t>
  </si>
  <si>
    <t>실기/실적(일 반전형)</t>
  </si>
  <si>
    <t>https://ipsi.cnu.ac.kr</t>
  </si>
  <si>
    <t>면접대상자 1단계 합격 발표</t>
  </si>
  <si>
    <t>한우림</t>
  </si>
  <si>
    <t>도시공학과</t>
  </si>
  <si>
    <t>학생부종합(지역인재전형 (종합))</t>
  </si>
  <si>
    <t>15:00 이후</t>
  </si>
  <si>
    <t>전북대학교(전주)</t>
  </si>
  <si>
    <t>미술학과(가구 조형디자인)</t>
  </si>
  <si>
    <t>실기/실적(일 반학생 전형(예체능))</t>
  </si>
  <si>
    <t>https://enter.jbnu.ac.kr</t>
  </si>
  <si>
    <t>미술학과(한국 화, 회화/시각 예술, 조소/공 공미술)</t>
  </si>
  <si>
    <t>명균호</t>
  </si>
  <si>
    <t>전남대학교(광주)</t>
  </si>
  <si>
    <t>물리학과</t>
  </si>
  <si>
    <t>학생부종합(고교생활우수 자Ⅰ)</t>
  </si>
  <si>
    <t>15:00</t>
  </si>
  <si>
    <t>https://admission.jnu.ac.kr</t>
  </si>
  <si>
    <t>디자인학과</t>
  </si>
  <si>
    <t>실기/실적(예 능실기)</t>
  </si>
  <si>
    <t>미술학과(조소 전공)</t>
  </si>
  <si>
    <t>10:30~15:30</t>
  </si>
  <si>
    <t>면접대상자 발표</t>
  </si>
  <si>
    <t>최현서</t>
  </si>
  <si>
    <t>을지대학교(성남)</t>
  </si>
  <si>
    <t>간호학과</t>
  </si>
  <si>
    <t>학생부종합(E U면접형)</t>
  </si>
  <si>
    <t>입학처 2027 모집요강 확인</t>
  </si>
  <si>
    <t>https://admission.eulji.ac.kr</t>
  </si>
  <si>
    <t>고다연</t>
  </si>
  <si>
    <t>건국대학교(글로컬)</t>
  </si>
  <si>
    <t>사회복지학과</t>
  </si>
  <si>
    <t>학생부종합(C ogito자기추 천전형)</t>
  </si>
  <si>
    <t>https://enter.kku.ac.kr/notice/view.php?bn=7139&amp;f=&amp;m_type=&amp;nPage=6&amp;s=</t>
  </si>
  <si>
    <t>전자전기공학과</t>
  </si>
  <si>
    <t>학생부종합(창업인재)</t>
  </si>
  <si>
    <t>자율운항시스템 공학과</t>
  </si>
  <si>
    <t>학생부종합Ⅰ [면접(300)]</t>
  </si>
  <si>
    <t>유예영</t>
  </si>
  <si>
    <t>생활과학계열</t>
  </si>
  <si>
    <t>학생부종합(큰사람)</t>
  </si>
  <si>
    <t>14:00</t>
  </si>
  <si>
    <t>임지효</t>
  </si>
  <si>
    <t>서울과학기술 대학교(서울)</t>
  </si>
  <si>
    <t>바이오메디컬학 과</t>
  </si>
  <si>
    <t>학생부종합(창의융합인재 전형)</t>
  </si>
  <si>
    <t>https://admission.seoultech.ac.kr</t>
  </si>
  <si>
    <t>생명정보융합학 과</t>
  </si>
  <si>
    <t>조은찬</t>
  </si>
  <si>
    <t>건국대학교(서울)</t>
  </si>
  <si>
    <t>KU자유전공학부</t>
  </si>
  <si>
    <t>학생부종합(K U자기추천)</t>
  </si>
  <si>
    <t>https://enter.konkuk.ac.kr</t>
  </si>
  <si>
    <t>서울시립대학 교(서울)</t>
  </si>
  <si>
    <t>학생부종합(학생부종합전 형I)</t>
  </si>
  <si>
    <t>https://admission.uos.ac.kr/admissionNew/html/susi/total3.do</t>
  </si>
  <si>
    <t>기계공학교육과</t>
  </si>
  <si>
    <t>울산대학교(울산)</t>
  </si>
  <si>
    <t>학생부종합(잠재역량 전 형)</t>
  </si>
  <si>
    <t>https://iphak.ulsan.ac.kr/upload/board/2026/06/01/fca3a6f8-16d3-409a-93ec-23c829990b23.pdf</t>
  </si>
  <si>
    <t>학생부종합Ⅱ (기회균형선 발Ⅱ전형)</t>
  </si>
  <si>
    <t>서울여자대학 교(서울)</t>
  </si>
  <si>
    <t>생명환경공학과</t>
  </si>
  <si>
    <t>학생부종합(바롬인재면접 전형)</t>
  </si>
  <si>
    <t>https://admission.swu.ac.kr</t>
  </si>
  <si>
    <t>천지은</t>
  </si>
  <si>
    <t>경희대학교(서울)</t>
  </si>
  <si>
    <t>경영회계계열</t>
  </si>
  <si>
    <t>학생부종합(네오르네상스 전형)</t>
  </si>
  <si>
    <t>https://iphak.khu.ac.kr/detail.do?board_seq=17324&amp;categoryid=1</t>
  </si>
  <si>
    <t>경희대학교(국제)</t>
  </si>
  <si>
    <t>스포츠의학과</t>
  </si>
  <si>
    <t>중앙대학교(서울)</t>
  </si>
  <si>
    <t>에너지시스템공 학부</t>
  </si>
  <si>
    <t>학생부종합(성장형인재전 형)</t>
  </si>
  <si>
    <t>https://admission.cau.ac.kr/main.do</t>
  </si>
  <si>
    <t>사회복지학과는 11/28~29 중 개인별 배정일 확인 필요</t>
  </si>
  <si>
    <t>예체능 계열 일정</t>
  </si>
  <si>
    <t>자연계열 일정</t>
  </si>
  <si>
    <t>오후</t>
  </si>
  <si>
    <t>경영대학 모집단위. 개인별 고사장/시간 최종 공지 확인</t>
  </si>
  <si>
    <t>오전</t>
  </si>
  <si>
    <t>체육대학 모집단위. 개인별 고사장/시간 최종 공지 확인</t>
  </si>
  <si>
    <t>12월 이후 면접 일정 — 10·11월 달력 밖 일정</t>
  </si>
  <si>
    <t>10·11월 달력만 보다가 놓치지 않도록 12월 면접을 별도로 모았습니다.</t>
  </si>
  <si>
    <t>전형</t>
  </si>
  <si>
    <t>공식 입학처</t>
  </si>
  <si>
    <t>관심대학 지원 목록 — 일정 확인 현황</t>
  </si>
  <si>
    <t>지원 112건 전체를 남기고, 1단계 발표·면접·실기 일정이 있는 전형만 확인값을 채웠습니다. 해당 일정이 없는 일괄합산 전형은 빈칸이 정상입니다.</t>
  </si>
  <si>
    <t>전형유형</t>
  </si>
  <si>
    <t>세부유형</t>
  </si>
  <si>
    <t>선발유형</t>
  </si>
  <si>
    <t>PDF 면접일자</t>
  </si>
  <si>
    <t>PDF 실기일자</t>
  </si>
  <si>
    <t>확인 1단계발표</t>
  </si>
  <si>
    <t>확인 면접</t>
  </si>
  <si>
    <t>확인 실기</t>
  </si>
  <si>
    <t>근거 URL</t>
  </si>
  <si>
    <t>국립한국교통 대학교(충주)</t>
  </si>
  <si>
    <t>영어영문학과</t>
  </si>
  <si>
    <t>학생부위주(교과)</t>
  </si>
  <si>
    <t>학생부교과(일반전형)</t>
  </si>
  <si>
    <t>일괄합 산</t>
  </si>
  <si>
    <t>중국어학과</t>
  </si>
  <si>
    <t>학생부교과(지역인재전형)</t>
  </si>
  <si>
    <t>중국어과</t>
  </si>
  <si>
    <t>학생부교과(학생부교과전 형)</t>
  </si>
  <si>
    <t>학생부위주(종합)</t>
  </si>
  <si>
    <t>단계별 전형</t>
  </si>
  <si>
    <t>2026-11- 28 ~ 202 6-11-29</t>
  </si>
  <si>
    <t>2026-11-19</t>
  </si>
  <si>
    <t>2026-11-28~2026-11-29</t>
  </si>
  <si>
    <t>2027 수시 모집요강 확인 / 입학처/모집요강 확인</t>
  </si>
  <si>
    <t>한남대학교(대전)</t>
  </si>
  <si>
    <t>디지털영어콘텐 츠학과</t>
  </si>
  <si>
    <t>국립공주대학 교(예산)</t>
  </si>
  <si>
    <t>산업과학대학자 율전공학부</t>
  </si>
  <si>
    <t>학생부교과(자율전공전형)</t>
  </si>
  <si>
    <t>김현중</t>
  </si>
  <si>
    <t>소방방재학과</t>
  </si>
  <si>
    <t>학생부교과(지역인재Ⅰ전 형)</t>
  </si>
  <si>
    <t>선문대학교(아산)</t>
  </si>
  <si>
    <t>소방방재안전학 과</t>
  </si>
  <si>
    <t>우석대학교(완주)</t>
  </si>
  <si>
    <t>학생부교과(교과)</t>
  </si>
  <si>
    <t>전주대학교(전주)</t>
  </si>
  <si>
    <t>소방안전공학과</t>
  </si>
  <si>
    <t>학생부종합(일반학생전형)</t>
  </si>
  <si>
    <t>우송대학교(대전)</t>
  </si>
  <si>
    <t>소방안전학부</t>
  </si>
  <si>
    <t>노하연</t>
  </si>
  <si>
    <t>식품영양학과</t>
  </si>
  <si>
    <t>학생부교과(교과전형)</t>
  </si>
  <si>
    <t>철도자율전공학 부</t>
  </si>
  <si>
    <t>학생부교과(교과중심전형)</t>
  </si>
  <si>
    <t>국립한국교통 대학교(증평)</t>
  </si>
  <si>
    <t>학생부종합(학생부종합전 형Ⅱ)</t>
  </si>
  <si>
    <t>2026-12- 02 ~ 202 6-12-02</t>
  </si>
  <si>
    <t>2026-11-13 15:00</t>
  </si>
  <si>
    <t>2026-12-02</t>
  </si>
  <si>
    <t>입학처 모집요강 확인 / 입학처/모집요강 확인</t>
  </si>
  <si>
    <t>지질환경과학과</t>
  </si>
  <si>
    <t>2026-12- 03 ~ 202 6-12-03</t>
  </si>
  <si>
    <t>2026-11-20 15:00</t>
  </si>
  <si>
    <t>2026-12-03</t>
  </si>
  <si>
    <t>2026-12- 06 ~ 202 6-12-06</t>
  </si>
  <si>
    <t>2026-11-20 18:00</t>
  </si>
  <si>
    <t>2026-12-06</t>
  </si>
  <si>
    <t>전자공학부</t>
  </si>
  <si>
    <t>공학계열2</t>
  </si>
  <si>
    <t>학생부교과(일반학생 전 형)</t>
  </si>
  <si>
    <t>박성령</t>
  </si>
  <si>
    <t>국립군산대학 교(군산)</t>
  </si>
  <si>
    <t>국어국문학과</t>
  </si>
  <si>
    <t>국립목포대학 교(목포)</t>
  </si>
  <si>
    <t>국어국문 문 예창작학부</t>
  </si>
  <si>
    <t>학생부교과(교과일반전형)</t>
  </si>
  <si>
    <t>학생부종합(종합일반전형)</t>
  </si>
  <si>
    <t>광주대학교(광주)</t>
  </si>
  <si>
    <t>문예창작과</t>
  </si>
  <si>
    <t>학생부교과(일반학생)</t>
  </si>
  <si>
    <t>2026-10- 10 ~ 202 6-10-10</t>
  </si>
  <si>
    <t>2026-10-02</t>
  </si>
  <si>
    <t>2026-10-10</t>
  </si>
  <si>
    <t>2026-11- 26 ~ 202 6-11-26</t>
  </si>
  <si>
    <t>2026-11-20 14:00</t>
  </si>
  <si>
    <t>2026-11-26</t>
  </si>
  <si>
    <t>충북대학교(청주)</t>
  </si>
  <si>
    <t>순천향대학교 (아산)</t>
  </si>
  <si>
    <t>호서대학교(아산)</t>
  </si>
  <si>
    <t>학생부교과(학생부전형)</t>
  </si>
  <si>
    <t>단국대학교(천안)</t>
  </si>
  <si>
    <t>학생부종합(사회적배려대 상자)</t>
  </si>
  <si>
    <t>윤지환</t>
  </si>
  <si>
    <t>세명대학교(제천)</t>
  </si>
  <si>
    <t>한의예과</t>
  </si>
  <si>
    <t>학생부교과(인문계고교전 형)</t>
  </si>
  <si>
    <t>학생부교과(지역인재(일 반)전형)</t>
  </si>
  <si>
    <t>공학계열</t>
  </si>
  <si>
    <t>논술위주</t>
  </si>
  <si>
    <t>논술위주(논 술우수)(수리 형)</t>
  </si>
  <si>
    <t>실기/실적위 주</t>
  </si>
  <si>
    <t>2026-10 -17 ~ 2 026-10- 17</t>
  </si>
  <si>
    <t>2026-10-17</t>
  </si>
  <si>
    <t>2026-10 -31 ~ 2 026-10- 31</t>
  </si>
  <si>
    <t>2026-10-31</t>
  </si>
  <si>
    <t>2026-10 -30 ~ 2 026-10- 30</t>
  </si>
  <si>
    <t>2026-10-30</t>
  </si>
  <si>
    <t>2026-10 -26 ~ 2 026-10- 27</t>
  </si>
  <si>
    <t>2026-10-26~2026-10-27</t>
  </si>
  <si>
    <t>2026-10 -01 ~ 2 026-10- 01</t>
  </si>
  <si>
    <t>2026-10-01</t>
  </si>
  <si>
    <t>국방산업경영학 부</t>
  </si>
  <si>
    <t>학생부교과(일반[교과])</t>
  </si>
  <si>
    <t>경영정보학과</t>
  </si>
  <si>
    <t>2026-10- 29 ~ 202 6-10-29</t>
  </si>
  <si>
    <t>2026-10-29</t>
  </si>
  <si>
    <t>원광대학교(익산)</t>
  </si>
  <si>
    <t>학생부종합(학생부종합전 형)</t>
  </si>
  <si>
    <t>이태민</t>
  </si>
  <si>
    <t>경상국립대학 교(진주)</t>
  </si>
  <si>
    <t>미래자동차공학 과</t>
  </si>
  <si>
    <t>학생부종합(일반전형)</t>
  </si>
  <si>
    <t>자동차공학과</t>
  </si>
  <si>
    <t>공학건설학부</t>
  </si>
  <si>
    <t>한국기술교육 대학교(천안)</t>
  </si>
  <si>
    <t>기계공학부</t>
  </si>
  <si>
    <t>학생부종합(창의인재(서 류형))</t>
  </si>
  <si>
    <t>국립공주대학 교(천안)</t>
  </si>
  <si>
    <t>생화학과</t>
  </si>
  <si>
    <t>2026-11- 28 ~ 202 6-11-28</t>
  </si>
  <si>
    <t>2026-11-25 18:00</t>
  </si>
  <si>
    <t>2026-11-28</t>
  </si>
  <si>
    <t>생명공학부</t>
  </si>
  <si>
    <t>부산대학교(양산)</t>
  </si>
  <si>
    <t>데이터사이언스 학부</t>
  </si>
  <si>
    <t>2026-10 -02 ~ 2 026-10- 11</t>
  </si>
  <si>
    <t>2026-10-14 16:00</t>
  </si>
  <si>
    <t>2026-10-02~2026-10-11
2026-10-17</t>
  </si>
  <si>
    <t>2026-10 -03 ~ 2 026-10- 05</t>
  </si>
  <si>
    <t>2026-10-03~2026-10-05</t>
  </si>
  <si>
    <t>2026-10 -09 ~ 2 026-10- 11</t>
  </si>
  <si>
    <t>2026-10-09~2026-10-11</t>
  </si>
  <si>
    <t>2026-10 -03 ~ 2 026-10- 04</t>
  </si>
  <si>
    <t>2026-10-13</t>
  </si>
  <si>
    <t>2026-10-03~2026-10-04
2026-10-24~2026-10-25</t>
  </si>
  <si>
    <t>용인대학교(용인)</t>
  </si>
  <si>
    <t>실기/실적[일 반학생 전형(학생부 30% + 실기/기초체 력 70%)]</t>
  </si>
  <si>
    <t>2026-12- 04 ~ 202 6-12-04</t>
  </si>
  <si>
    <t>2026-12-04</t>
  </si>
  <si>
    <t>2026-11-20</t>
  </si>
  <si>
    <t>2026-11-29 10:00</t>
  </si>
  <si>
    <t>서강대학교(서울)</t>
  </si>
  <si>
    <t>전자공학과</t>
  </si>
  <si>
    <t>학생부종합(일반Ⅰ)</t>
  </si>
  <si>
    <t>2026-12- 05 ~ 202 6-12-05</t>
  </si>
  <si>
    <t>2026-11-26 14:00</t>
  </si>
  <si>
    <t>2026-12-05</t>
  </si>
  <si>
    <t>한양대학교(서울)</t>
  </si>
  <si>
    <t>한양인터칼리지 학부(자연)</t>
  </si>
  <si>
    <t>학생부종합(추천형)</t>
  </si>
  <si>
    <t>2026-11 -24 ~ 2 026-11- 24</t>
  </si>
  <si>
    <t>2026-11-24</t>
  </si>
  <si>
    <t>2026-11 -12 ~ 2 026-11- 12</t>
  </si>
  <si>
    <t>2026-11-12</t>
  </si>
  <si>
    <t>2026-10 -16 ~ 2 026-10- 16</t>
  </si>
  <si>
    <t>2026-10-16</t>
  </si>
  <si>
    <t>2026-11 -15 ~ 2 026-11- 15</t>
  </si>
  <si>
    <t>2026-10-20 18:00</t>
  </si>
  <si>
    <t>2026-11-15 10:30~15:30</t>
  </si>
  <si>
    <t>2026-10-02 11:00</t>
  </si>
  <si>
    <t>2026-10-31 10:00</t>
  </si>
  <si>
    <t>디자인컨버전스 학과</t>
  </si>
  <si>
    <t>고려대학교(서울)</t>
  </si>
  <si>
    <t>경영대학</t>
  </si>
  <si>
    <t>학생부종합: 학업우수전형</t>
  </si>
  <si>
    <t>경영학부</t>
  </si>
  <si>
    <t>경영학부(경영 학전공)</t>
  </si>
  <si>
    <t>학생부교과(지역균형전형)</t>
  </si>
  <si>
    <t>2026-12- 05 ~ 202 6-12-06</t>
  </si>
  <si>
    <t>2026-12-05 오후</t>
  </si>
  <si>
    <t>울산과학기술 원</t>
  </si>
  <si>
    <t>경영계열</t>
  </si>
  <si>
    <t>일반</t>
  </si>
  <si>
    <t>2026-10 -03 ~ 2 026-10- 03</t>
  </si>
  <si>
    <t>2026-10-03</t>
  </si>
  <si>
    <t>2026-10 -20 ~ 2 026-10- 20</t>
  </si>
  <si>
    <t>2026-10-20</t>
  </si>
  <si>
    <t>2026-11 -01 ~ 2 026-11- 01</t>
  </si>
  <si>
    <t>2026-11-01</t>
  </si>
  <si>
    <t>2026-10-05</t>
  </si>
  <si>
    <t>아주대학교(수원)</t>
  </si>
  <si>
    <t>학생부종합(고른기회2전 형)</t>
  </si>
  <si>
    <t>2026-11-20 16:00</t>
  </si>
  <si>
    <t>2026-11- 21 ~ 202 6-11-21</t>
  </si>
  <si>
    <t>2026-11-18</t>
  </si>
  <si>
    <t>2026-11-21</t>
  </si>
  <si>
    <t>입학처 2027 모집요강 확인 / 입학처/모집요강 확인</t>
  </si>
  <si>
    <t>학생부종합(기회균형(정 원내))</t>
  </si>
  <si>
    <t>학생부종합(어울림전형)</t>
  </si>
  <si>
    <t>2026-11-28 10:00</t>
  </si>
  <si>
    <t>공과대학자유전 공학부</t>
  </si>
  <si>
    <t>학생부교과(K U지역균형)</t>
  </si>
  <si>
    <t>스포츠사이언스 전공</t>
  </si>
  <si>
    <t>학생부종합(서류형)</t>
  </si>
  <si>
    <t>2026-10- 25 ~ 202 6-10-25</t>
  </si>
  <si>
    <t>2026-10-25</t>
  </si>
  <si>
    <t>2027 수시 모집요강 + 관심목록 교차확인 / 2027 수시 모집요강 확인</t>
  </si>
  <si>
    <t>2026-12-05 오전</t>
  </si>
  <si>
    <t>공과대학자율전 공</t>
  </si>
  <si>
    <t>자율전공학부</t>
  </si>
  <si>
    <t>건설환경도시교 통공학부</t>
  </si>
  <si>
    <t>학생부종합(학생부종합전 형(일반))</t>
  </si>
  <si>
    <t>2026-11- 20 ~ 202 6-11-20</t>
  </si>
  <si>
    <t>2026-11-06 15:00 이후</t>
  </si>
  <si>
    <t>지구과학교육과</t>
  </si>
  <si>
    <t>스마트인프라공 학과</t>
  </si>
  <si>
    <t>대학 입학처 확인 출처</t>
  </si>
  <si>
    <t>확인 기준일: 2026-09-23. 이후 고사장·개인별 시간표가 별도 공지되는 경우 그 공지가 최종입니다.</t>
  </si>
  <si>
    <t>공식 입학처/모집요강 URL</t>
  </si>
  <si>
    <t>예체능 계열 일정
자연계열 일정</t>
  </si>
  <si>
    <t>입학처 모집요강 + 관심목록 교차확인 / 입학처/모집요강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</si>
</sst>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5">
    <font>
      <sz val="11"/>
      <name val="Carlito"/>
    </font>
    <font>
      <b/>
      <sz val="18"/>
      <color rgb="FFFFFFFF"/>
      <name val="Carlito"/>
    </font>
    <font>
      <sz val="9"/>
      <color rgb="FF1F2937"/>
      <name val="Carlito"/>
    </font>
    <font>
      <b/>
      <sz val="9"/>
      <color rgb="FF1F2937"/>
      <name val="Carlito"/>
    </font>
    <font>
      <b/>
      <sz val="10"/>
      <color rgb="FF1F2937"/>
      <name val="Carlito"/>
    </font>
    <font>
      <b/>
      <sz val="10"/>
      <color rgb="FFC00000"/>
      <name val="Carlito"/>
    </font>
    <font>
      <b/>
      <sz val="10"/>
      <color rgb="FF1F4E79"/>
      <name val="Carlito"/>
    </font>
    <font>
      <b/>
      <sz val="10"/>
      <color rgb="FF1F4E78"/>
      <name val="Carlito"/>
    </font>
    <font>
      <sz val="8"/>
      <color rgb="FF1F2937"/>
      <name val="Carlito"/>
    </font>
    <font>
      <b/>
      <sz val="17"/>
      <color rgb="FFFFFFFF"/>
      <name val="Carlito"/>
    </font>
    <font>
      <b/>
      <sz val="12"/>
      <color rgb="FF1F2937"/>
      <name val="Carlito"/>
    </font>
    <font>
      <b/>
      <sz val="9"/>
      <color rgb="FFFFFFFF"/>
      <name val="Carlito"/>
    </font>
    <font>
      <b/>
      <sz val="16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3F4F6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5B9BD5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43">
    <xf numFmtId="0" fontId="0" fillId="0" borderId="0" xfId="0"/>
    <xf numFmtId="0" fontId="5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0" fillId="5" borderId="4" xfId="1" applyFont="1" applyFill="1" applyBorder="1"/>
    <xf numFmtId="0" fontId="2" fillId="6" borderId="4" xfId="1" applyFont="1" applyFill="1" applyBorder="1" applyAlignment="1">
      <alignment horizontal="left" vertical="top" wrapText="1"/>
    </xf>
    <xf numFmtId="0" fontId="2" fillId="7" borderId="4" xfId="1" applyFont="1" applyFill="1" applyBorder="1" applyAlignment="1">
      <alignment horizontal="left" vertical="top" wrapText="1"/>
    </xf>
    <xf numFmtId="0" fontId="2" fillId="8" borderId="4" xfId="1" applyFont="1" applyFill="1" applyBorder="1" applyAlignment="1">
      <alignment horizontal="left" vertical="top" wrapText="1"/>
    </xf>
    <xf numFmtId="0" fontId="2" fillId="9" borderId="4" xfId="1" applyFont="1" applyFill="1" applyBorder="1" applyAlignment="1">
      <alignment horizontal="left" vertical="top" wrapText="1"/>
    </xf>
    <xf numFmtId="0" fontId="2" fillId="10" borderId="4" xfId="1" applyFont="1" applyFill="1" applyBorder="1" applyAlignment="1">
      <alignment horizontal="left" vertical="top" wrapText="1"/>
    </xf>
    <xf numFmtId="0" fontId="7" fillId="11" borderId="0" xfId="1" applyFont="1" applyFill="1" applyAlignment="1">
      <alignment horizontal="center"/>
    </xf>
    <xf numFmtId="0" fontId="8" fillId="7" borderId="4" xfId="1" applyFont="1" applyFill="1" applyBorder="1" applyAlignment="1">
      <alignment horizontal="left" vertical="top" wrapText="1"/>
    </xf>
    <xf numFmtId="0" fontId="10" fillId="11" borderId="0" xfId="1" applyFont="1" applyFill="1" applyAlignment="1">
      <alignment horizontal="center"/>
    </xf>
    <xf numFmtId="176" fontId="2" fillId="0" borderId="0" xfId="1" applyNumberFormat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11" fillId="12" borderId="5" xfId="1" applyFont="1" applyFill="1" applyBorder="1" applyAlignment="1">
      <alignment horizontal="center" vertical="center"/>
    </xf>
    <xf numFmtId="0" fontId="11" fillId="12" borderId="6" xfId="1" applyFont="1" applyFill="1" applyBorder="1" applyAlignment="1">
      <alignment horizontal="center" vertical="center"/>
    </xf>
    <xf numFmtId="0" fontId="11" fillId="12" borderId="7" xfId="1" applyFont="1" applyFill="1" applyBorder="1" applyAlignment="1">
      <alignment horizontal="center" vertical="center"/>
    </xf>
    <xf numFmtId="176" fontId="2" fillId="0" borderId="8" xfId="1" applyNumberFormat="1" applyFont="1" applyBorder="1" applyAlignment="1">
      <alignment vertical="center" wrapText="1"/>
    </xf>
    <xf numFmtId="0" fontId="2" fillId="0" borderId="9" xfId="1" applyFont="1" applyBorder="1" applyAlignment="1">
      <alignment vertical="center" wrapText="1"/>
    </xf>
    <xf numFmtId="176" fontId="2" fillId="0" borderId="10" xfId="1" applyNumberFormat="1" applyFont="1" applyBorder="1" applyAlignment="1">
      <alignment vertical="center" wrapText="1"/>
    </xf>
    <xf numFmtId="176" fontId="2" fillId="0" borderId="11" xfId="1" applyNumberFormat="1" applyFont="1" applyBorder="1" applyAlignment="1">
      <alignment vertical="center" wrapText="1"/>
    </xf>
    <xf numFmtId="0" fontId="2" fillId="0" borderId="11" xfId="1" applyFont="1" applyBorder="1" applyAlignment="1">
      <alignment vertical="center" wrapText="1"/>
    </xf>
    <xf numFmtId="0" fontId="2" fillId="0" borderId="12" xfId="1" applyFont="1" applyBorder="1" applyAlignment="1">
      <alignment vertical="center" wrapText="1"/>
    </xf>
    <xf numFmtId="0" fontId="11" fillId="13" borderId="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7" xfId="1" applyFont="1" applyFill="1" applyBorder="1" applyAlignment="1">
      <alignment horizontal="center"/>
    </xf>
    <xf numFmtId="0" fontId="11" fillId="14" borderId="5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7" xfId="1" applyFont="1" applyFill="1" applyBorder="1" applyAlignment="1">
      <alignment horizontal="center"/>
    </xf>
    <xf numFmtId="0" fontId="2" fillId="0" borderId="8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1" fillId="12" borderId="5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7" xfId="1" applyFont="1" applyFill="1" applyBorder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3" fillId="0" borderId="0" xfId="1" applyFont="1" applyAlignment="1">
      <alignment horizontal="center"/>
    </xf>
    <xf numFmtId="0" fontId="7" fillId="11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/>
    </xf>
    <xf numFmtId="0" fontId="2" fillId="3" borderId="0" xfId="1" applyFont="1" applyFill="1" applyAlignment="1">
      <alignment wrapText="1"/>
    </xf>
    <xf numFmtId="0" fontId="12" fillId="2" borderId="0" xfId="1" applyFont="1" applyFill="1" applyAlignment="1">
      <alignment horizontal="center"/>
    </xf>
    <xf numFmtId="0" fontId="2" fillId="3" borderId="0" xfId="1" applyFont="1" applyFill="1"/>
  </cellXfs>
  <cellStyles count="2">
    <cellStyle name="Normal" xfId="1" xr:uid="{00000000-0005-0000-0000-000000000000}"/>
    <cellStyle name="표준" xfId="0" builtinId="0"/>
  </cellStyles>
  <dxfs count="3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ScheduleTable" displayName="AllScheduleTable" ref="A5:L78" totalsRowShown="0">
  <tableColumns count="12">
    <tableColumn id="1" xr3:uid="{00000000-0010-0000-0000-000001000000}" name="날짜"/>
    <tableColumn id="2" xr3:uid="{00000000-0010-0000-0000-000002000000}" name="종료일"/>
    <tableColumn id="3" xr3:uid="{00000000-0010-0000-0000-000003000000}" name="구분"/>
    <tableColumn id="4" xr3:uid="{00000000-0010-0000-0000-000004000000}" name="단계/내용"/>
    <tableColumn id="5" xr3:uid="{00000000-0010-0000-0000-000005000000}" name="학생"/>
    <tableColumn id="6" xr3:uid="{00000000-0010-0000-0000-000006000000}" name="대학"/>
    <tableColumn id="7" xr3:uid="{00000000-0010-0000-0000-000007000000}" name="모집단위"/>
    <tableColumn id="8" xr3:uid="{00000000-0010-0000-0000-000008000000}" name="세부전형"/>
    <tableColumn id="9" xr3:uid="{00000000-0010-0000-0000-000009000000}" name="시간"/>
    <tableColumn id="10" xr3:uid="{00000000-0010-0000-0000-00000A000000}" name="비고"/>
    <tableColumn id="11" xr3:uid="{00000000-0010-0000-0000-00000B000000}" name="검증상태"/>
    <tableColumn id="12" xr3:uid="{00000000-0010-0000-0000-00000C000000}" name="공식 입학처/근거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emberScheduleTable" displayName="DecemberScheduleTable" ref="A4:H14" totalsRowShown="0">
  <tableColumns count="8">
    <tableColumn id="1" xr3:uid="{00000000-0010-0000-0100-000001000000}" name="날짜"/>
    <tableColumn id="2" xr3:uid="{00000000-0010-0000-0100-000002000000}" name="학생"/>
    <tableColumn id="3" xr3:uid="{00000000-0010-0000-0100-000003000000}" name="대학"/>
    <tableColumn id="4" xr3:uid="{00000000-0010-0000-0100-000004000000}" name="모집단위"/>
    <tableColumn id="5" xr3:uid="{00000000-0010-0000-0100-000005000000}" name="전형"/>
    <tableColumn id="6" xr3:uid="{00000000-0010-0000-0100-000006000000}" name="시간"/>
    <tableColumn id="7" xr3:uid="{00000000-0010-0000-0100-000007000000}" name="비고"/>
    <tableColumn id="8" xr3:uid="{00000000-0010-0000-0100-000008000000}" name="공식 입학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pplicationsTable" displayName="ApplicationsTable" ref="A4:M116" totalsRowShown="0">
  <tableColumns count="13">
    <tableColumn id="1" xr3:uid="{00000000-0010-0000-0200-000001000000}" name="학생"/>
    <tableColumn id="2" xr3:uid="{00000000-0010-0000-0200-000002000000}" name="대학"/>
    <tableColumn id="3" xr3:uid="{00000000-0010-0000-0200-000003000000}" name="모집단위"/>
    <tableColumn id="4" xr3:uid="{00000000-0010-0000-0200-000004000000}" name="전형유형"/>
    <tableColumn id="5" xr3:uid="{00000000-0010-0000-0200-000005000000}" name="세부유형"/>
    <tableColumn id="6" xr3:uid="{00000000-0010-0000-0200-000006000000}" name="선발유형"/>
    <tableColumn id="7" xr3:uid="{00000000-0010-0000-0200-000007000000}" name="PDF 면접일자"/>
    <tableColumn id="8" xr3:uid="{00000000-0010-0000-0200-000008000000}" name="PDF 실기일자"/>
    <tableColumn id="9" xr3:uid="{00000000-0010-0000-0200-000009000000}" name="확인 1단계발표"/>
    <tableColumn id="10" xr3:uid="{00000000-0010-0000-0200-00000A000000}" name="확인 면접"/>
    <tableColumn id="11" xr3:uid="{00000000-0010-0000-0200-00000B000000}" name="확인 실기"/>
    <tableColumn id="12" xr3:uid="{00000000-0010-0000-0200-00000C000000}" name="검증상태"/>
    <tableColumn id="13" xr3:uid="{00000000-0010-0000-0200-00000D000000}" name="근거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4:D36" totalsRowShown="0">
  <tableColumns count="4">
    <tableColumn id="1" xr3:uid="{00000000-0010-0000-0300-000001000000}" name="대학"/>
    <tableColumn id="2" xr3:uid="{00000000-0010-0000-0300-000002000000}" name="검증상태"/>
    <tableColumn id="3" xr3:uid="{00000000-0010-0000-0300-000003000000}" name="비고"/>
    <tableColumn id="4" xr3:uid="{00000000-0010-0000-0300-000004000000}" name="공식 입학처/모집요강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view="pageBreakPreview" topLeftCell="A4" zoomScale="60" zoomScaleNormal="100" workbookViewId="0">
      <selection activeCell="G7" sqref="G7"/>
    </sheetView>
  </sheetViews>
  <sheetFormatPr defaultRowHeight="13.8"/>
  <cols>
    <col min="1" max="7" width="25.69921875" customWidth="1"/>
  </cols>
  <sheetData>
    <row r="1" spans="1:7" ht="27.15" customHeight="1">
      <c r="A1" s="35" t="s">
        <v>0</v>
      </c>
      <c r="B1" s="35"/>
      <c r="C1" s="35"/>
      <c r="D1" s="35"/>
      <c r="E1" s="35"/>
      <c r="F1" s="35"/>
      <c r="G1" s="35"/>
    </row>
    <row r="2" spans="1:7" ht="27.15" customHeight="1">
      <c r="A2" s="36" t="s">
        <v>1</v>
      </c>
      <c r="B2" s="36"/>
      <c r="C2" s="36"/>
      <c r="D2" s="36"/>
      <c r="E2" s="36"/>
      <c r="F2" s="36"/>
      <c r="G2" s="36"/>
    </row>
    <row r="3" spans="1:7" ht="17.55" customHeight="1">
      <c r="A3" s="37" t="s">
        <v>2</v>
      </c>
      <c r="B3" s="37"/>
      <c r="C3" s="37"/>
      <c r="D3" s="37"/>
      <c r="E3" s="37"/>
      <c r="F3" s="37"/>
      <c r="G3" s="37"/>
    </row>
    <row r="5" spans="1:7" ht="19.2" customHeight="1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3" t="s">
        <v>9</v>
      </c>
    </row>
    <row r="6" spans="1:7" ht="103.95" customHeight="1">
      <c r="A6" s="4"/>
      <c r="B6" s="4"/>
      <c r="C6" s="4"/>
      <c r="D6" s="4"/>
      <c r="E6" s="5" t="s">
        <v>10</v>
      </c>
      <c r="F6" s="6" t="s">
        <v>11</v>
      </c>
      <c r="G6" s="5" t="s">
        <v>12</v>
      </c>
    </row>
    <row r="7" spans="1:7" ht="103.95" customHeight="1">
      <c r="A7" s="7" t="s">
        <v>13</v>
      </c>
      <c r="B7" s="5" t="s">
        <v>14</v>
      </c>
      <c r="C7" s="7" t="s">
        <v>15</v>
      </c>
      <c r="D7" s="7" t="s">
        <v>16</v>
      </c>
      <c r="E7" s="7" t="s">
        <v>17</v>
      </c>
      <c r="F7" s="5" t="s">
        <v>18</v>
      </c>
      <c r="G7" s="8" t="s">
        <v>19</v>
      </c>
    </row>
    <row r="8" spans="1:7" ht="103.95" customHeight="1">
      <c r="A8" s="7" t="s">
        <v>20</v>
      </c>
      <c r="B8" s="7" t="s">
        <v>21</v>
      </c>
      <c r="C8" s="9" t="s">
        <v>22</v>
      </c>
      <c r="D8" s="9" t="s">
        <v>23</v>
      </c>
      <c r="E8" s="7" t="s">
        <v>24</v>
      </c>
      <c r="F8" s="5" t="s">
        <v>25</v>
      </c>
      <c r="G8" s="6" t="s">
        <v>26</v>
      </c>
    </row>
    <row r="9" spans="1:7" ht="103.95" customHeight="1">
      <c r="A9" s="7" t="s">
        <v>27</v>
      </c>
      <c r="B9" s="7" t="s">
        <v>28</v>
      </c>
      <c r="C9" s="6" t="s">
        <v>29</v>
      </c>
      <c r="D9" s="7" t="s">
        <v>30</v>
      </c>
      <c r="E9" s="7" t="s">
        <v>31</v>
      </c>
      <c r="F9" s="7" t="s">
        <v>32</v>
      </c>
      <c r="G9" s="5" t="s">
        <v>33</v>
      </c>
    </row>
    <row r="10" spans="1:7" ht="103.95" customHeight="1">
      <c r="A10" s="8" t="s">
        <v>34</v>
      </c>
      <c r="B10" s="5" t="s">
        <v>35</v>
      </c>
      <c r="C10" s="7" t="s">
        <v>36</v>
      </c>
      <c r="D10" s="7" t="s">
        <v>37</v>
      </c>
      <c r="E10" s="8" t="s">
        <v>38</v>
      </c>
      <c r="F10" s="5" t="s">
        <v>39</v>
      </c>
      <c r="G10" s="5" t="s">
        <v>40</v>
      </c>
    </row>
    <row r="13" spans="1:7" ht="20.85" customHeight="1">
      <c r="A13" s="38" t="s">
        <v>41</v>
      </c>
      <c r="B13" s="38"/>
      <c r="C13" s="38"/>
      <c r="D13" s="38"/>
      <c r="E13" s="38"/>
      <c r="F13" s="38"/>
      <c r="G13" s="38"/>
    </row>
  </sheetData>
  <mergeCells count="4">
    <mergeCell ref="A1:G1"/>
    <mergeCell ref="A2:G2"/>
    <mergeCell ref="A3:G3"/>
    <mergeCell ref="A13:G13"/>
  </mergeCells>
  <phoneticPr fontId="14" type="noConversion"/>
  <pageMargins left="0.23622047244094491" right="0.23622047244094491" top="0.74803149606299213" bottom="0.74803149606299213" header="0.31496062992125984" footer="0.31496062992125984"/>
  <pageSetup paperSize="9" scale="72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view="pageBreakPreview" zoomScale="60" zoomScaleNormal="100" workbookViewId="0">
      <selection activeCell="B9" sqref="B9"/>
    </sheetView>
  </sheetViews>
  <sheetFormatPr defaultRowHeight="13.8"/>
  <cols>
    <col min="1" max="7" width="25.69921875" customWidth="1"/>
  </cols>
  <sheetData>
    <row r="1" spans="1:7" ht="27.15" customHeight="1">
      <c r="A1" s="35" t="s">
        <v>42</v>
      </c>
      <c r="B1" s="35"/>
      <c r="C1" s="35"/>
      <c r="D1" s="35"/>
      <c r="E1" s="35"/>
      <c r="F1" s="35"/>
      <c r="G1" s="35"/>
    </row>
    <row r="2" spans="1:7" ht="27.15" customHeight="1">
      <c r="A2" s="36" t="s">
        <v>1</v>
      </c>
      <c r="B2" s="36"/>
      <c r="C2" s="36"/>
      <c r="D2" s="36"/>
      <c r="E2" s="36"/>
      <c r="F2" s="36"/>
      <c r="G2" s="36"/>
    </row>
    <row r="3" spans="1:7" ht="17.55" customHeight="1">
      <c r="A3" s="37" t="s">
        <v>2</v>
      </c>
      <c r="B3" s="37"/>
      <c r="C3" s="37"/>
      <c r="D3" s="37"/>
      <c r="E3" s="37"/>
      <c r="F3" s="37"/>
      <c r="G3" s="37"/>
    </row>
    <row r="5" spans="1:7" ht="19.2" customHeight="1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3" t="s">
        <v>9</v>
      </c>
    </row>
    <row r="6" spans="1:7" ht="103.95" customHeight="1">
      <c r="A6" s="5" t="s">
        <v>43</v>
      </c>
      <c r="B6" s="7" t="s">
        <v>44</v>
      </c>
      <c r="C6" s="7" t="s">
        <v>45</v>
      </c>
      <c r="D6" s="7" t="s">
        <v>13</v>
      </c>
      <c r="E6" s="7" t="s">
        <v>46</v>
      </c>
      <c r="F6" s="9" t="s">
        <v>47</v>
      </c>
      <c r="G6" s="7" t="s">
        <v>16</v>
      </c>
    </row>
    <row r="7" spans="1:7" ht="103.95" customHeight="1">
      <c r="A7" s="7" t="s">
        <v>17</v>
      </c>
      <c r="B7" s="7" t="s">
        <v>48</v>
      </c>
      <c r="C7" s="7" t="s">
        <v>49</v>
      </c>
      <c r="D7" s="7" t="s">
        <v>20</v>
      </c>
      <c r="E7" s="5" t="s">
        <v>50</v>
      </c>
      <c r="F7" s="9" t="s">
        <v>51</v>
      </c>
      <c r="G7" s="7" t="s">
        <v>52</v>
      </c>
    </row>
    <row r="8" spans="1:7" ht="240" customHeight="1">
      <c r="A8" s="5" t="s">
        <v>53</v>
      </c>
      <c r="B8" s="7" t="s">
        <v>54</v>
      </c>
      <c r="C8" s="7" t="s">
        <v>55</v>
      </c>
      <c r="D8" s="9" t="s">
        <v>56</v>
      </c>
      <c r="E8" s="9" t="s">
        <v>57</v>
      </c>
      <c r="F8" s="11" t="s">
        <v>58</v>
      </c>
      <c r="G8" s="8" t="s">
        <v>59</v>
      </c>
    </row>
    <row r="9" spans="1:7" ht="136.05000000000001" customHeight="1">
      <c r="A9" s="7" t="s">
        <v>31</v>
      </c>
      <c r="B9" s="7" t="s">
        <v>32</v>
      </c>
      <c r="C9" s="5" t="s">
        <v>60</v>
      </c>
      <c r="D9" s="9" t="s">
        <v>61</v>
      </c>
      <c r="E9" s="6" t="s">
        <v>62</v>
      </c>
      <c r="F9" s="7" t="s">
        <v>36</v>
      </c>
      <c r="G9" s="8" t="s">
        <v>63</v>
      </c>
    </row>
    <row r="10" spans="1:7" ht="103.95" customHeight="1">
      <c r="A10" s="8" t="s">
        <v>64</v>
      </c>
      <c r="B10" s="7" t="s">
        <v>65</v>
      </c>
      <c r="C10" s="4"/>
      <c r="D10" s="4"/>
      <c r="E10" s="4"/>
      <c r="F10" s="4"/>
      <c r="G10" s="4"/>
    </row>
    <row r="13" spans="1:7" ht="20.85" customHeight="1">
      <c r="A13" s="38" t="s">
        <v>66</v>
      </c>
      <c r="B13" s="38"/>
      <c r="C13" s="38"/>
      <c r="D13" s="38"/>
      <c r="E13" s="38"/>
      <c r="F13" s="38"/>
      <c r="G13" s="38"/>
    </row>
  </sheetData>
  <mergeCells count="4">
    <mergeCell ref="A1:G1"/>
    <mergeCell ref="A2:G2"/>
    <mergeCell ref="A3:G3"/>
    <mergeCell ref="A13:G13"/>
  </mergeCells>
  <phoneticPr fontId="14" type="noConversion"/>
  <pageMargins left="0.23622047244094491" right="0.23622047244094491" top="0.74803149606299213" bottom="0.74803149606299213" header="0.31496062992125984" footer="0.31496062992125984"/>
  <pageSetup paperSize="9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topLeftCell="A7" workbookViewId="0">
      <selection activeCell="D26" sqref="D26"/>
    </sheetView>
  </sheetViews>
  <sheetFormatPr defaultRowHeight="13.8"/>
  <cols>
    <col min="1" max="2" width="12" customWidth="1"/>
    <col min="3" max="3" width="9" customWidth="1"/>
    <col min="4" max="4" width="22" customWidth="1"/>
    <col min="5" max="5" width="10" customWidth="1"/>
    <col min="6" max="6" width="23" customWidth="1"/>
    <col min="7" max="7" width="27" customWidth="1"/>
    <col min="8" max="8" width="34" customWidth="1"/>
    <col min="9" max="9" width="14" customWidth="1"/>
    <col min="10" max="10" width="40" customWidth="1"/>
    <col min="11" max="11" width="28" customWidth="1"/>
    <col min="12" max="12" width="48" customWidth="1"/>
  </cols>
  <sheetData>
    <row r="1" spans="1:12" ht="27.15" customHeight="1">
      <c r="A1" s="39" t="s">
        <v>67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20.85" customHeight="1">
      <c r="A2" s="40" t="s">
        <v>68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15.6">
      <c r="A3" s="10" t="s">
        <v>69</v>
      </c>
      <c r="B3" s="12">
        <f>COUNTIFS($A$6:$A$200,"&gt;="&amp;DATE(2026,10,1),$A$6:$A$200,"&lt;"&amp;DATE(2026,11,1))</f>
        <v>27</v>
      </c>
      <c r="C3" s="10" t="s">
        <v>70</v>
      </c>
      <c r="D3" s="12">
        <f>COUNTIFS($A$6:$A$200,"&gt;="&amp;DATE(2026,11,1),$A$6:$A$200,"&lt;"&amp;DATE(2026,12,1))</f>
        <v>36</v>
      </c>
      <c r="E3" s="10" t="s">
        <v>71</v>
      </c>
      <c r="F3" s="12">
        <f>COUNTIFS($A$6:$A$200,"&gt;="&amp;DATE(2026,12,1))</f>
        <v>10</v>
      </c>
    </row>
    <row r="5" spans="1:12" ht="22.35" customHeight="1">
      <c r="A5" s="15" t="s">
        <v>72</v>
      </c>
      <c r="B5" s="16" t="s">
        <v>73</v>
      </c>
      <c r="C5" s="16" t="s">
        <v>74</v>
      </c>
      <c r="D5" s="16" t="s">
        <v>75</v>
      </c>
      <c r="E5" s="16" t="s">
        <v>76</v>
      </c>
      <c r="F5" s="16" t="s">
        <v>77</v>
      </c>
      <c r="G5" s="16" t="s">
        <v>78</v>
      </c>
      <c r="H5" s="16" t="s">
        <v>79</v>
      </c>
      <c r="I5" s="16" t="s">
        <v>80</v>
      </c>
      <c r="J5" s="16" t="s">
        <v>81</v>
      </c>
      <c r="K5" s="16" t="s">
        <v>82</v>
      </c>
      <c r="L5" s="17" t="s">
        <v>83</v>
      </c>
    </row>
    <row r="6" spans="1:12">
      <c r="A6" s="18">
        <v>46296</v>
      </c>
      <c r="B6" s="13">
        <v>46296</v>
      </c>
      <c r="C6" s="14" t="s">
        <v>84</v>
      </c>
      <c r="D6" s="14" t="s">
        <v>85</v>
      </c>
      <c r="E6" s="14" t="s">
        <v>86</v>
      </c>
      <c r="F6" s="14" t="s">
        <v>87</v>
      </c>
      <c r="G6" s="14" t="s">
        <v>88</v>
      </c>
      <c r="H6" s="14" t="s">
        <v>89</v>
      </c>
      <c r="I6" s="14"/>
      <c r="J6" s="14"/>
      <c r="K6" s="14" t="s">
        <v>90</v>
      </c>
      <c r="L6" s="19" t="s">
        <v>91</v>
      </c>
    </row>
    <row r="7" spans="1:12" ht="22.8">
      <c r="A7" s="18">
        <v>46297</v>
      </c>
      <c r="B7" s="13">
        <v>46297</v>
      </c>
      <c r="C7" s="14" t="s">
        <v>92</v>
      </c>
      <c r="D7" s="14" t="s">
        <v>93</v>
      </c>
      <c r="E7" s="14" t="s">
        <v>94</v>
      </c>
      <c r="F7" s="14" t="s">
        <v>95</v>
      </c>
      <c r="G7" s="14" t="s">
        <v>96</v>
      </c>
      <c r="H7" s="14" t="s">
        <v>97</v>
      </c>
      <c r="I7" s="14"/>
      <c r="J7" s="14"/>
      <c r="K7" s="14" t="s">
        <v>98</v>
      </c>
      <c r="L7" s="19" t="s">
        <v>99</v>
      </c>
    </row>
    <row r="8" spans="1:12">
      <c r="A8" s="18">
        <v>46297</v>
      </c>
      <c r="B8" s="13">
        <v>46297</v>
      </c>
      <c r="C8" s="14" t="s">
        <v>92</v>
      </c>
      <c r="D8" s="14" t="s">
        <v>93</v>
      </c>
      <c r="E8" s="14" t="s">
        <v>100</v>
      </c>
      <c r="F8" s="14" t="s">
        <v>101</v>
      </c>
      <c r="G8" s="14" t="s">
        <v>102</v>
      </c>
      <c r="H8" s="14" t="s">
        <v>103</v>
      </c>
      <c r="I8" s="14" t="s">
        <v>104</v>
      </c>
      <c r="J8" s="14"/>
      <c r="K8" s="14" t="s">
        <v>90</v>
      </c>
      <c r="L8" s="19" t="s">
        <v>105</v>
      </c>
    </row>
    <row r="9" spans="1:12">
      <c r="A9" s="18">
        <v>46297</v>
      </c>
      <c r="B9" s="13">
        <v>46306</v>
      </c>
      <c r="C9" s="14" t="s">
        <v>84</v>
      </c>
      <c r="D9" s="14" t="s">
        <v>106</v>
      </c>
      <c r="E9" s="14" t="s">
        <v>107</v>
      </c>
      <c r="F9" s="14" t="s">
        <v>108</v>
      </c>
      <c r="G9" s="14" t="s">
        <v>109</v>
      </c>
      <c r="H9" s="14" t="s">
        <v>110</v>
      </c>
      <c r="I9" s="14"/>
      <c r="J9" s="14" t="s">
        <v>111</v>
      </c>
      <c r="K9" s="14" t="s">
        <v>112</v>
      </c>
      <c r="L9" s="19" t="s">
        <v>113</v>
      </c>
    </row>
    <row r="10" spans="1:12">
      <c r="A10" s="18">
        <v>46298</v>
      </c>
      <c r="B10" s="13">
        <v>46300</v>
      </c>
      <c r="C10" s="14" t="s">
        <v>84</v>
      </c>
      <c r="D10" s="14" t="s">
        <v>85</v>
      </c>
      <c r="E10" s="14" t="s">
        <v>107</v>
      </c>
      <c r="F10" s="14" t="s">
        <v>114</v>
      </c>
      <c r="G10" s="14" t="s">
        <v>109</v>
      </c>
      <c r="H10" s="14" t="s">
        <v>115</v>
      </c>
      <c r="I10" s="14"/>
      <c r="J10" s="14" t="s">
        <v>116</v>
      </c>
      <c r="K10" s="14" t="s">
        <v>98</v>
      </c>
      <c r="L10" s="19" t="s">
        <v>117</v>
      </c>
    </row>
    <row r="11" spans="1:12">
      <c r="A11" s="18">
        <v>46298</v>
      </c>
      <c r="B11" s="13">
        <v>46299</v>
      </c>
      <c r="C11" s="14" t="s">
        <v>84</v>
      </c>
      <c r="D11" s="14" t="s">
        <v>106</v>
      </c>
      <c r="E11" s="14" t="s">
        <v>107</v>
      </c>
      <c r="F11" s="14" t="s">
        <v>118</v>
      </c>
      <c r="G11" s="14" t="s">
        <v>119</v>
      </c>
      <c r="H11" s="14" t="s">
        <v>120</v>
      </c>
      <c r="I11" s="14"/>
      <c r="J11" s="14"/>
      <c r="K11" s="14" t="s">
        <v>98</v>
      </c>
      <c r="L11" s="19" t="s">
        <v>121</v>
      </c>
    </row>
    <row r="12" spans="1:12">
      <c r="A12" s="18">
        <v>46298</v>
      </c>
      <c r="B12" s="13">
        <v>46298</v>
      </c>
      <c r="C12" s="14" t="s">
        <v>84</v>
      </c>
      <c r="D12" s="14" t="s">
        <v>85</v>
      </c>
      <c r="E12" s="14" t="s">
        <v>122</v>
      </c>
      <c r="F12" s="14" t="s">
        <v>123</v>
      </c>
      <c r="G12" s="14" t="s">
        <v>124</v>
      </c>
      <c r="H12" s="14" t="s">
        <v>125</v>
      </c>
      <c r="I12" s="14"/>
      <c r="J12" s="14"/>
      <c r="K12" s="14" t="s">
        <v>90</v>
      </c>
      <c r="L12" s="19" t="s">
        <v>126</v>
      </c>
    </row>
    <row r="13" spans="1:12">
      <c r="A13" s="18">
        <v>46300</v>
      </c>
      <c r="B13" s="13">
        <v>46300</v>
      </c>
      <c r="C13" s="14" t="s">
        <v>84</v>
      </c>
      <c r="D13" s="14" t="s">
        <v>85</v>
      </c>
      <c r="E13" s="14" t="s">
        <v>127</v>
      </c>
      <c r="F13" s="14" t="s">
        <v>128</v>
      </c>
      <c r="G13" s="14" t="s">
        <v>129</v>
      </c>
      <c r="H13" s="14" t="s">
        <v>130</v>
      </c>
      <c r="I13" s="14"/>
      <c r="J13" s="14" t="s">
        <v>131</v>
      </c>
      <c r="K13" s="14" t="s">
        <v>98</v>
      </c>
      <c r="L13" s="19" t="s">
        <v>132</v>
      </c>
    </row>
    <row r="14" spans="1:12">
      <c r="A14" s="18">
        <v>46304</v>
      </c>
      <c r="B14" s="13">
        <v>46306</v>
      </c>
      <c r="C14" s="14" t="s">
        <v>84</v>
      </c>
      <c r="D14" s="14" t="s">
        <v>85</v>
      </c>
      <c r="E14" s="14" t="s">
        <v>107</v>
      </c>
      <c r="F14" s="14" t="s">
        <v>128</v>
      </c>
      <c r="G14" s="14" t="s">
        <v>133</v>
      </c>
      <c r="H14" s="14" t="s">
        <v>134</v>
      </c>
      <c r="I14" s="14"/>
      <c r="J14" s="14"/>
      <c r="K14" s="14" t="s">
        <v>98</v>
      </c>
      <c r="L14" s="19" t="s">
        <v>132</v>
      </c>
    </row>
    <row r="15" spans="1:12" ht="22.8">
      <c r="A15" s="18">
        <v>46305</v>
      </c>
      <c r="B15" s="13">
        <v>46305</v>
      </c>
      <c r="C15" s="14" t="s">
        <v>135</v>
      </c>
      <c r="D15" s="14" t="s">
        <v>136</v>
      </c>
      <c r="E15" s="14" t="s">
        <v>94</v>
      </c>
      <c r="F15" s="14" t="s">
        <v>95</v>
      </c>
      <c r="G15" s="14" t="s">
        <v>96</v>
      </c>
      <c r="H15" s="14" t="s">
        <v>97</v>
      </c>
      <c r="I15" s="14"/>
      <c r="J15" s="14" t="s">
        <v>137</v>
      </c>
      <c r="K15" s="14" t="s">
        <v>98</v>
      </c>
      <c r="L15" s="19" t="s">
        <v>99</v>
      </c>
    </row>
    <row r="16" spans="1:12">
      <c r="A16" s="18">
        <v>46308</v>
      </c>
      <c r="B16" s="13">
        <v>46308</v>
      </c>
      <c r="C16" s="14" t="s">
        <v>92</v>
      </c>
      <c r="D16" s="14" t="s">
        <v>93</v>
      </c>
      <c r="E16" s="14" t="s">
        <v>107</v>
      </c>
      <c r="F16" s="14" t="s">
        <v>118</v>
      </c>
      <c r="G16" s="14" t="s">
        <v>119</v>
      </c>
      <c r="H16" s="14" t="s">
        <v>120</v>
      </c>
      <c r="I16" s="14"/>
      <c r="J16" s="14"/>
      <c r="K16" s="14" t="s">
        <v>98</v>
      </c>
      <c r="L16" s="19" t="s">
        <v>121</v>
      </c>
    </row>
    <row r="17" spans="1:12">
      <c r="A17" s="18">
        <v>46309</v>
      </c>
      <c r="B17" s="13">
        <v>46309</v>
      </c>
      <c r="C17" s="14" t="s">
        <v>92</v>
      </c>
      <c r="D17" s="14" t="s">
        <v>93</v>
      </c>
      <c r="E17" s="14" t="s">
        <v>107</v>
      </c>
      <c r="F17" s="14" t="s">
        <v>108</v>
      </c>
      <c r="G17" s="14" t="s">
        <v>109</v>
      </c>
      <c r="H17" s="14" t="s">
        <v>110</v>
      </c>
      <c r="I17" s="14" t="s">
        <v>138</v>
      </c>
      <c r="J17" s="14"/>
      <c r="K17" s="14" t="s">
        <v>98</v>
      </c>
      <c r="L17" s="19" t="s">
        <v>113</v>
      </c>
    </row>
    <row r="18" spans="1:12" ht="22.8">
      <c r="A18" s="18">
        <v>46311</v>
      </c>
      <c r="B18" s="13">
        <v>46311</v>
      </c>
      <c r="C18" s="14" t="s">
        <v>84</v>
      </c>
      <c r="D18" s="14" t="s">
        <v>85</v>
      </c>
      <c r="E18" s="14" t="s">
        <v>100</v>
      </c>
      <c r="F18" s="14" t="s">
        <v>139</v>
      </c>
      <c r="G18" s="14" t="s">
        <v>140</v>
      </c>
      <c r="H18" s="14" t="s">
        <v>141</v>
      </c>
      <c r="I18" s="14"/>
      <c r="J18" s="14"/>
      <c r="K18" s="14" t="s">
        <v>98</v>
      </c>
      <c r="L18" s="19" t="s">
        <v>142</v>
      </c>
    </row>
    <row r="19" spans="1:12" ht="22.8">
      <c r="A19" s="18">
        <v>46312</v>
      </c>
      <c r="B19" s="13">
        <v>46312</v>
      </c>
      <c r="C19" s="14" t="s">
        <v>135</v>
      </c>
      <c r="D19" s="14" t="s">
        <v>136</v>
      </c>
      <c r="E19" s="14" t="s">
        <v>143</v>
      </c>
      <c r="F19" s="14" t="s">
        <v>144</v>
      </c>
      <c r="G19" s="14" t="s">
        <v>145</v>
      </c>
      <c r="H19" s="14" t="s">
        <v>146</v>
      </c>
      <c r="I19" s="14"/>
      <c r="J19" s="14" t="s">
        <v>147</v>
      </c>
      <c r="K19" s="14" t="s">
        <v>90</v>
      </c>
      <c r="L19" s="19" t="s">
        <v>148</v>
      </c>
    </row>
    <row r="20" spans="1:12">
      <c r="A20" s="18">
        <v>46312</v>
      </c>
      <c r="B20" s="13">
        <v>46312</v>
      </c>
      <c r="C20" s="14" t="s">
        <v>84</v>
      </c>
      <c r="D20" s="14" t="s">
        <v>85</v>
      </c>
      <c r="E20" s="14" t="s">
        <v>86</v>
      </c>
      <c r="F20" s="14" t="s">
        <v>149</v>
      </c>
      <c r="G20" s="14" t="s">
        <v>150</v>
      </c>
      <c r="H20" s="14" t="s">
        <v>151</v>
      </c>
      <c r="I20" s="14"/>
      <c r="J20" s="14"/>
      <c r="K20" s="14" t="s">
        <v>90</v>
      </c>
      <c r="L20" s="19" t="s">
        <v>152</v>
      </c>
    </row>
    <row r="21" spans="1:12">
      <c r="A21" s="18">
        <v>46312</v>
      </c>
      <c r="B21" s="13">
        <v>46312</v>
      </c>
      <c r="C21" s="14" t="s">
        <v>84</v>
      </c>
      <c r="D21" s="14" t="s">
        <v>153</v>
      </c>
      <c r="E21" s="14" t="s">
        <v>107</v>
      </c>
      <c r="F21" s="14" t="s">
        <v>108</v>
      </c>
      <c r="G21" s="14" t="s">
        <v>109</v>
      </c>
      <c r="H21" s="14" t="s">
        <v>110</v>
      </c>
      <c r="I21" s="14"/>
      <c r="J21" s="14"/>
      <c r="K21" s="14" t="s">
        <v>98</v>
      </c>
      <c r="L21" s="19" t="s">
        <v>113</v>
      </c>
    </row>
    <row r="22" spans="1:12" ht="22.8">
      <c r="A22" s="18">
        <v>46315</v>
      </c>
      <c r="B22" s="13">
        <v>46315</v>
      </c>
      <c r="C22" s="14" t="s">
        <v>92</v>
      </c>
      <c r="D22" s="14" t="s">
        <v>93</v>
      </c>
      <c r="E22" s="14" t="s">
        <v>100</v>
      </c>
      <c r="F22" s="14" t="s">
        <v>154</v>
      </c>
      <c r="G22" s="14" t="s">
        <v>155</v>
      </c>
      <c r="H22" s="14" t="s">
        <v>103</v>
      </c>
      <c r="I22" s="14" t="s">
        <v>156</v>
      </c>
      <c r="J22" s="14"/>
      <c r="K22" s="14" t="s">
        <v>98</v>
      </c>
      <c r="L22" s="19" t="s">
        <v>157</v>
      </c>
    </row>
    <row r="23" spans="1:12">
      <c r="A23" s="18">
        <v>46315</v>
      </c>
      <c r="B23" s="13">
        <v>46315</v>
      </c>
      <c r="C23" s="14" t="s">
        <v>92</v>
      </c>
      <c r="D23" s="14" t="s">
        <v>158</v>
      </c>
      <c r="E23" s="14" t="s">
        <v>159</v>
      </c>
      <c r="F23" s="14" t="s">
        <v>160</v>
      </c>
      <c r="G23" s="14" t="s">
        <v>161</v>
      </c>
      <c r="H23" s="14" t="s">
        <v>162</v>
      </c>
      <c r="I23" s="14"/>
      <c r="J23" s="14"/>
      <c r="K23" s="14" t="s">
        <v>163</v>
      </c>
      <c r="L23" s="19" t="s">
        <v>164</v>
      </c>
    </row>
    <row r="24" spans="1:12">
      <c r="A24" s="18">
        <v>46315</v>
      </c>
      <c r="B24" s="13">
        <v>46315</v>
      </c>
      <c r="C24" s="14" t="s">
        <v>84</v>
      </c>
      <c r="D24" s="14" t="s">
        <v>85</v>
      </c>
      <c r="E24" s="14" t="s">
        <v>127</v>
      </c>
      <c r="F24" s="14" t="s">
        <v>165</v>
      </c>
      <c r="G24" s="14" t="s">
        <v>166</v>
      </c>
      <c r="H24" s="14" t="s">
        <v>167</v>
      </c>
      <c r="I24" s="14"/>
      <c r="J24" s="14"/>
      <c r="K24" s="14" t="s">
        <v>98</v>
      </c>
      <c r="L24" s="19" t="s">
        <v>168</v>
      </c>
    </row>
    <row r="25" spans="1:12">
      <c r="A25" s="18">
        <v>46319</v>
      </c>
      <c r="B25" s="13">
        <v>46320</v>
      </c>
      <c r="C25" s="14" t="s">
        <v>84</v>
      </c>
      <c r="D25" s="14" t="s">
        <v>153</v>
      </c>
      <c r="E25" s="14" t="s">
        <v>107</v>
      </c>
      <c r="F25" s="14" t="s">
        <v>118</v>
      </c>
      <c r="G25" s="14" t="s">
        <v>119</v>
      </c>
      <c r="H25" s="14" t="s">
        <v>120</v>
      </c>
      <c r="I25" s="14"/>
      <c r="J25" s="14"/>
      <c r="K25" s="14" t="s">
        <v>98</v>
      </c>
      <c r="L25" s="19" t="s">
        <v>121</v>
      </c>
    </row>
    <row r="26" spans="1:12">
      <c r="A26" s="18">
        <v>46320</v>
      </c>
      <c r="B26" s="13">
        <v>46320</v>
      </c>
      <c r="C26" s="14" t="s">
        <v>135</v>
      </c>
      <c r="D26" s="14" t="s">
        <v>136</v>
      </c>
      <c r="E26" s="14" t="s">
        <v>159</v>
      </c>
      <c r="F26" s="14" t="s">
        <v>160</v>
      </c>
      <c r="G26" s="14" t="s">
        <v>161</v>
      </c>
      <c r="H26" s="14" t="s">
        <v>162</v>
      </c>
      <c r="I26" s="14"/>
      <c r="J26" s="14"/>
      <c r="K26" s="14" t="s">
        <v>169</v>
      </c>
      <c r="L26" s="19" t="s">
        <v>164</v>
      </c>
    </row>
    <row r="27" spans="1:12">
      <c r="A27" s="18">
        <v>46321</v>
      </c>
      <c r="B27" s="13">
        <v>46322</v>
      </c>
      <c r="C27" s="14" t="s">
        <v>84</v>
      </c>
      <c r="D27" s="14" t="s">
        <v>85</v>
      </c>
      <c r="E27" s="14" t="s">
        <v>86</v>
      </c>
      <c r="F27" s="14" t="s">
        <v>170</v>
      </c>
      <c r="G27" s="14" t="s">
        <v>171</v>
      </c>
      <c r="H27" s="14" t="s">
        <v>172</v>
      </c>
      <c r="I27" s="14"/>
      <c r="J27" s="14"/>
      <c r="K27" s="14" t="s">
        <v>90</v>
      </c>
      <c r="L27" s="19" t="s">
        <v>173</v>
      </c>
    </row>
    <row r="28" spans="1:12" ht="22.8">
      <c r="A28" s="18">
        <v>46324</v>
      </c>
      <c r="B28" s="13">
        <v>46324</v>
      </c>
      <c r="C28" s="14" t="s">
        <v>135</v>
      </c>
      <c r="D28" s="14" t="s">
        <v>136</v>
      </c>
      <c r="E28" s="14" t="s">
        <v>143</v>
      </c>
      <c r="F28" s="14" t="s">
        <v>174</v>
      </c>
      <c r="G28" s="14" t="s">
        <v>175</v>
      </c>
      <c r="H28" s="14" t="s">
        <v>176</v>
      </c>
      <c r="I28" s="14"/>
      <c r="J28" s="14"/>
      <c r="K28" s="14" t="s">
        <v>98</v>
      </c>
      <c r="L28" s="19" t="s">
        <v>177</v>
      </c>
    </row>
    <row r="29" spans="1:12">
      <c r="A29" s="18">
        <v>46325</v>
      </c>
      <c r="B29" s="13">
        <v>46325</v>
      </c>
      <c r="C29" s="14" t="s">
        <v>84</v>
      </c>
      <c r="D29" s="14" t="s">
        <v>85</v>
      </c>
      <c r="E29" s="14" t="s">
        <v>86</v>
      </c>
      <c r="F29" s="14" t="s">
        <v>178</v>
      </c>
      <c r="G29" s="14" t="s">
        <v>179</v>
      </c>
      <c r="H29" s="14" t="s">
        <v>180</v>
      </c>
      <c r="I29" s="14"/>
      <c r="J29" s="14"/>
      <c r="K29" s="14" t="s">
        <v>90</v>
      </c>
      <c r="L29" s="19" t="s">
        <v>181</v>
      </c>
    </row>
    <row r="30" spans="1:12" ht="22.8">
      <c r="A30" s="18">
        <v>46325</v>
      </c>
      <c r="B30" s="13">
        <v>46325</v>
      </c>
      <c r="C30" s="14" t="s">
        <v>84</v>
      </c>
      <c r="D30" s="14" t="s">
        <v>85</v>
      </c>
      <c r="E30" s="14" t="s">
        <v>127</v>
      </c>
      <c r="F30" s="14" t="s">
        <v>182</v>
      </c>
      <c r="G30" s="14" t="s">
        <v>183</v>
      </c>
      <c r="H30" s="14" t="s">
        <v>184</v>
      </c>
      <c r="I30" s="14"/>
      <c r="J30" s="14"/>
      <c r="K30" s="14" t="s">
        <v>90</v>
      </c>
      <c r="L30" s="19" t="s">
        <v>185</v>
      </c>
    </row>
    <row r="31" spans="1:12">
      <c r="A31" s="18">
        <v>46326</v>
      </c>
      <c r="B31" s="13">
        <v>46326</v>
      </c>
      <c r="C31" s="14" t="s">
        <v>84</v>
      </c>
      <c r="D31" s="14" t="s">
        <v>85</v>
      </c>
      <c r="E31" s="14" t="s">
        <v>86</v>
      </c>
      <c r="F31" s="14" t="s">
        <v>186</v>
      </c>
      <c r="G31" s="14" t="s">
        <v>187</v>
      </c>
      <c r="H31" s="14" t="s">
        <v>188</v>
      </c>
      <c r="I31" s="14"/>
      <c r="J31" s="14"/>
      <c r="K31" s="14" t="s">
        <v>98</v>
      </c>
      <c r="L31" s="19" t="s">
        <v>189</v>
      </c>
    </row>
    <row r="32" spans="1:12">
      <c r="A32" s="18">
        <v>46326</v>
      </c>
      <c r="B32" s="13">
        <v>46326</v>
      </c>
      <c r="C32" s="14" t="s">
        <v>84</v>
      </c>
      <c r="D32" s="14" t="s">
        <v>85</v>
      </c>
      <c r="E32" s="14" t="s">
        <v>100</v>
      </c>
      <c r="F32" s="14" t="s">
        <v>101</v>
      </c>
      <c r="G32" s="14" t="s">
        <v>102</v>
      </c>
      <c r="H32" s="14" t="s">
        <v>103</v>
      </c>
      <c r="I32" s="14" t="s">
        <v>190</v>
      </c>
      <c r="J32" s="14"/>
      <c r="K32" s="14" t="s">
        <v>90</v>
      </c>
      <c r="L32" s="19" t="s">
        <v>105</v>
      </c>
    </row>
    <row r="33" spans="1:12">
      <c r="A33" s="18">
        <v>46327</v>
      </c>
      <c r="B33" s="13">
        <v>46327</v>
      </c>
      <c r="C33" s="14" t="s">
        <v>84</v>
      </c>
      <c r="D33" s="14" t="s">
        <v>85</v>
      </c>
      <c r="E33" s="14" t="s">
        <v>127</v>
      </c>
      <c r="F33" s="14" t="s">
        <v>191</v>
      </c>
      <c r="G33" s="14" t="s">
        <v>192</v>
      </c>
      <c r="H33" s="14" t="s">
        <v>193</v>
      </c>
      <c r="I33" s="14"/>
      <c r="J33" s="14"/>
      <c r="K33" s="14" t="s">
        <v>90</v>
      </c>
      <c r="L33" s="19" t="s">
        <v>194</v>
      </c>
    </row>
    <row r="34" spans="1:12" ht="22.8">
      <c r="A34" s="18">
        <v>46332</v>
      </c>
      <c r="B34" s="13">
        <v>46332</v>
      </c>
      <c r="C34" s="14" t="s">
        <v>92</v>
      </c>
      <c r="D34" s="14" t="s">
        <v>195</v>
      </c>
      <c r="E34" s="14" t="s">
        <v>196</v>
      </c>
      <c r="F34" s="14" t="s">
        <v>139</v>
      </c>
      <c r="G34" s="14" t="s">
        <v>197</v>
      </c>
      <c r="H34" s="14" t="s">
        <v>198</v>
      </c>
      <c r="I34" s="14" t="s">
        <v>199</v>
      </c>
      <c r="J34" s="14"/>
      <c r="K34" s="14" t="s">
        <v>98</v>
      </c>
      <c r="L34" s="19" t="s">
        <v>142</v>
      </c>
    </row>
    <row r="35" spans="1:12">
      <c r="A35" s="18">
        <v>46338</v>
      </c>
      <c r="B35" s="13">
        <v>46338</v>
      </c>
      <c r="C35" s="14" t="s">
        <v>84</v>
      </c>
      <c r="D35" s="14" t="s">
        <v>85</v>
      </c>
      <c r="E35" s="14" t="s">
        <v>100</v>
      </c>
      <c r="F35" s="14" t="s">
        <v>200</v>
      </c>
      <c r="G35" s="14" t="s">
        <v>201</v>
      </c>
      <c r="H35" s="14" t="s">
        <v>202</v>
      </c>
      <c r="I35" s="14"/>
      <c r="J35" s="14"/>
      <c r="K35" s="14" t="s">
        <v>90</v>
      </c>
      <c r="L35" s="19" t="s">
        <v>203</v>
      </c>
    </row>
    <row r="36" spans="1:12" ht="22.8">
      <c r="A36" s="18">
        <v>46338</v>
      </c>
      <c r="B36" s="13">
        <v>46338</v>
      </c>
      <c r="C36" s="14" t="s">
        <v>84</v>
      </c>
      <c r="D36" s="14" t="s">
        <v>85</v>
      </c>
      <c r="E36" s="14" t="s">
        <v>127</v>
      </c>
      <c r="F36" s="14" t="s">
        <v>200</v>
      </c>
      <c r="G36" s="14" t="s">
        <v>204</v>
      </c>
      <c r="H36" s="14" t="s">
        <v>202</v>
      </c>
      <c r="I36" s="14"/>
      <c r="J36" s="14"/>
      <c r="K36" s="14" t="s">
        <v>90</v>
      </c>
      <c r="L36" s="19" t="s">
        <v>203</v>
      </c>
    </row>
    <row r="37" spans="1:12">
      <c r="A37" s="18">
        <v>46339</v>
      </c>
      <c r="B37" s="13">
        <v>46339</v>
      </c>
      <c r="C37" s="14" t="s">
        <v>92</v>
      </c>
      <c r="D37" s="14" t="s">
        <v>93</v>
      </c>
      <c r="E37" s="14" t="s">
        <v>205</v>
      </c>
      <c r="F37" s="14" t="s">
        <v>206</v>
      </c>
      <c r="G37" s="14" t="s">
        <v>207</v>
      </c>
      <c r="H37" s="14" t="s">
        <v>208</v>
      </c>
      <c r="I37" s="14" t="s">
        <v>209</v>
      </c>
      <c r="J37" s="14"/>
      <c r="K37" s="14" t="s">
        <v>112</v>
      </c>
      <c r="L37" s="19" t="s">
        <v>210</v>
      </c>
    </row>
    <row r="38" spans="1:12">
      <c r="A38" s="18">
        <v>46339</v>
      </c>
      <c r="B38" s="13">
        <v>46339</v>
      </c>
      <c r="C38" s="14" t="s">
        <v>92</v>
      </c>
      <c r="D38" s="14" t="s">
        <v>93</v>
      </c>
      <c r="E38" s="14" t="s">
        <v>100</v>
      </c>
      <c r="F38" s="14" t="s">
        <v>206</v>
      </c>
      <c r="G38" s="14" t="s">
        <v>211</v>
      </c>
      <c r="H38" s="14" t="s">
        <v>212</v>
      </c>
      <c r="I38" s="14" t="s">
        <v>209</v>
      </c>
      <c r="J38" s="14"/>
      <c r="K38" s="14" t="s">
        <v>112</v>
      </c>
      <c r="L38" s="19" t="s">
        <v>210</v>
      </c>
    </row>
    <row r="39" spans="1:12">
      <c r="A39" s="18">
        <v>46339</v>
      </c>
      <c r="B39" s="13">
        <v>46339</v>
      </c>
      <c r="C39" s="14" t="s">
        <v>92</v>
      </c>
      <c r="D39" s="14" t="s">
        <v>93</v>
      </c>
      <c r="E39" s="14" t="s">
        <v>127</v>
      </c>
      <c r="F39" s="14" t="s">
        <v>206</v>
      </c>
      <c r="G39" s="14" t="s">
        <v>213</v>
      </c>
      <c r="H39" s="14" t="s">
        <v>212</v>
      </c>
      <c r="I39" s="14" t="s">
        <v>209</v>
      </c>
      <c r="J39" s="14"/>
      <c r="K39" s="14" t="s">
        <v>112</v>
      </c>
      <c r="L39" s="19" t="s">
        <v>210</v>
      </c>
    </row>
    <row r="40" spans="1:12" ht="22.8">
      <c r="A40" s="18">
        <v>46341</v>
      </c>
      <c r="B40" s="13">
        <v>46341</v>
      </c>
      <c r="C40" s="14" t="s">
        <v>84</v>
      </c>
      <c r="D40" s="14" t="s">
        <v>85</v>
      </c>
      <c r="E40" s="14" t="s">
        <v>100</v>
      </c>
      <c r="F40" s="14" t="s">
        <v>154</v>
      </c>
      <c r="G40" s="14" t="s">
        <v>155</v>
      </c>
      <c r="H40" s="14" t="s">
        <v>103</v>
      </c>
      <c r="I40" s="14" t="s">
        <v>214</v>
      </c>
      <c r="J40" s="14"/>
      <c r="K40" s="14" t="s">
        <v>98</v>
      </c>
      <c r="L40" s="19" t="s">
        <v>157</v>
      </c>
    </row>
    <row r="41" spans="1:12">
      <c r="A41" s="18">
        <v>46344</v>
      </c>
      <c r="B41" s="13">
        <v>46344</v>
      </c>
      <c r="C41" s="14" t="s">
        <v>92</v>
      </c>
      <c r="D41" s="14" t="s">
        <v>215</v>
      </c>
      <c r="E41" s="14" t="s">
        <v>216</v>
      </c>
      <c r="F41" s="14" t="s">
        <v>217</v>
      </c>
      <c r="G41" s="14" t="s">
        <v>218</v>
      </c>
      <c r="H41" s="14" t="s">
        <v>219</v>
      </c>
      <c r="I41" s="14"/>
      <c r="J41" s="14"/>
      <c r="K41" s="14" t="s">
        <v>220</v>
      </c>
      <c r="L41" s="19" t="s">
        <v>221</v>
      </c>
    </row>
    <row r="42" spans="1:12" ht="22.8">
      <c r="A42" s="18">
        <v>46345</v>
      </c>
      <c r="B42" s="13">
        <v>46345</v>
      </c>
      <c r="C42" s="14" t="s">
        <v>92</v>
      </c>
      <c r="D42" s="14" t="s">
        <v>93</v>
      </c>
      <c r="E42" s="14" t="s">
        <v>222</v>
      </c>
      <c r="F42" s="14" t="s">
        <v>223</v>
      </c>
      <c r="G42" s="14" t="s">
        <v>224</v>
      </c>
      <c r="H42" s="14" t="s">
        <v>225</v>
      </c>
      <c r="I42" s="14"/>
      <c r="J42" s="14"/>
      <c r="K42" s="14" t="s">
        <v>163</v>
      </c>
      <c r="L42" s="19" t="s">
        <v>226</v>
      </c>
    </row>
    <row r="43" spans="1:12" ht="22.8">
      <c r="A43" s="18">
        <v>46346</v>
      </c>
      <c r="B43" s="13">
        <v>46346</v>
      </c>
      <c r="C43" s="14" t="s">
        <v>92</v>
      </c>
      <c r="D43" s="14" t="s">
        <v>93</v>
      </c>
      <c r="E43" s="14" t="s">
        <v>205</v>
      </c>
      <c r="F43" s="14" t="s">
        <v>154</v>
      </c>
      <c r="G43" s="14" t="s">
        <v>227</v>
      </c>
      <c r="H43" s="14" t="s">
        <v>228</v>
      </c>
      <c r="I43" s="14" t="s">
        <v>156</v>
      </c>
      <c r="J43" s="14"/>
      <c r="K43" s="14" t="s">
        <v>98</v>
      </c>
      <c r="L43" s="19" t="s">
        <v>157</v>
      </c>
    </row>
    <row r="44" spans="1:12">
      <c r="A44" s="18">
        <v>46346</v>
      </c>
      <c r="B44" s="13">
        <v>46346</v>
      </c>
      <c r="C44" s="14" t="s">
        <v>92</v>
      </c>
      <c r="D44" s="14" t="s">
        <v>93</v>
      </c>
      <c r="E44" s="14" t="s">
        <v>205</v>
      </c>
      <c r="F44" s="14" t="s">
        <v>191</v>
      </c>
      <c r="G44" s="14" t="s">
        <v>229</v>
      </c>
      <c r="H44" s="14" t="s">
        <v>230</v>
      </c>
      <c r="I44" s="14" t="s">
        <v>209</v>
      </c>
      <c r="J44" s="14"/>
      <c r="K44" s="14" t="s">
        <v>98</v>
      </c>
      <c r="L44" s="19" t="s">
        <v>194</v>
      </c>
    </row>
    <row r="45" spans="1:12">
      <c r="A45" s="18">
        <v>46346</v>
      </c>
      <c r="B45" s="13">
        <v>46346</v>
      </c>
      <c r="C45" s="14" t="s">
        <v>92</v>
      </c>
      <c r="D45" s="14" t="s">
        <v>93</v>
      </c>
      <c r="E45" s="14" t="s">
        <v>231</v>
      </c>
      <c r="F45" s="14" t="s">
        <v>200</v>
      </c>
      <c r="G45" s="14" t="s">
        <v>232</v>
      </c>
      <c r="H45" s="14" t="s">
        <v>233</v>
      </c>
      <c r="I45" s="14" t="s">
        <v>234</v>
      </c>
      <c r="J45" s="14"/>
      <c r="K45" s="14" t="s">
        <v>98</v>
      </c>
      <c r="L45" s="19" t="s">
        <v>203</v>
      </c>
    </row>
    <row r="46" spans="1:12">
      <c r="A46" s="18">
        <v>46346</v>
      </c>
      <c r="B46" s="13">
        <v>46346</v>
      </c>
      <c r="C46" s="14" t="s">
        <v>92</v>
      </c>
      <c r="D46" s="14" t="s">
        <v>93</v>
      </c>
      <c r="E46" s="14" t="s">
        <v>235</v>
      </c>
      <c r="F46" s="14" t="s">
        <v>236</v>
      </c>
      <c r="G46" s="14" t="s">
        <v>237</v>
      </c>
      <c r="H46" s="14" t="s">
        <v>238</v>
      </c>
      <c r="I46" s="14" t="s">
        <v>234</v>
      </c>
      <c r="J46" s="14"/>
      <c r="K46" s="14" t="s">
        <v>98</v>
      </c>
      <c r="L46" s="19" t="s">
        <v>239</v>
      </c>
    </row>
    <row r="47" spans="1:12">
      <c r="A47" s="18">
        <v>46346</v>
      </c>
      <c r="B47" s="13">
        <v>46346</v>
      </c>
      <c r="C47" s="14" t="s">
        <v>92</v>
      </c>
      <c r="D47" s="14" t="s">
        <v>93</v>
      </c>
      <c r="E47" s="14" t="s">
        <v>235</v>
      </c>
      <c r="F47" s="14" t="s">
        <v>191</v>
      </c>
      <c r="G47" s="14" t="s">
        <v>240</v>
      </c>
      <c r="H47" s="14" t="s">
        <v>230</v>
      </c>
      <c r="I47" s="14" t="s">
        <v>209</v>
      </c>
      <c r="J47" s="14"/>
      <c r="K47" s="14" t="s">
        <v>98</v>
      </c>
      <c r="L47" s="19" t="s">
        <v>194</v>
      </c>
    </row>
    <row r="48" spans="1:12">
      <c r="A48" s="18">
        <v>46346</v>
      </c>
      <c r="B48" s="13">
        <v>46346</v>
      </c>
      <c r="C48" s="14" t="s">
        <v>92</v>
      </c>
      <c r="D48" s="14" t="s">
        <v>93</v>
      </c>
      <c r="E48" s="14" t="s">
        <v>241</v>
      </c>
      <c r="F48" s="14" t="s">
        <v>242</v>
      </c>
      <c r="G48" s="14" t="s">
        <v>243</v>
      </c>
      <c r="H48" s="14" t="s">
        <v>244</v>
      </c>
      <c r="I48" s="14" t="s">
        <v>234</v>
      </c>
      <c r="J48" s="14"/>
      <c r="K48" s="14" t="s">
        <v>98</v>
      </c>
      <c r="L48" s="19" t="s">
        <v>245</v>
      </c>
    </row>
    <row r="49" spans="1:12">
      <c r="A49" s="18">
        <v>46346</v>
      </c>
      <c r="B49" s="13">
        <v>46346</v>
      </c>
      <c r="C49" s="14" t="s">
        <v>92</v>
      </c>
      <c r="D49" s="14" t="s">
        <v>93</v>
      </c>
      <c r="E49" s="14" t="s">
        <v>241</v>
      </c>
      <c r="F49" s="14" t="s">
        <v>246</v>
      </c>
      <c r="G49" s="14" t="s">
        <v>207</v>
      </c>
      <c r="H49" s="14" t="s">
        <v>247</v>
      </c>
      <c r="I49" s="14"/>
      <c r="J49" s="14"/>
      <c r="K49" s="14" t="s">
        <v>98</v>
      </c>
      <c r="L49" s="19" t="s">
        <v>248</v>
      </c>
    </row>
    <row r="50" spans="1:12">
      <c r="A50" s="18">
        <v>46346</v>
      </c>
      <c r="B50" s="13">
        <v>46346</v>
      </c>
      <c r="C50" s="14" t="s">
        <v>92</v>
      </c>
      <c r="D50" s="14" t="s">
        <v>93</v>
      </c>
      <c r="E50" s="14" t="s">
        <v>241</v>
      </c>
      <c r="F50" s="14" t="s">
        <v>191</v>
      </c>
      <c r="G50" s="14" t="s">
        <v>249</v>
      </c>
      <c r="H50" s="14" t="s">
        <v>230</v>
      </c>
      <c r="I50" s="14" t="s">
        <v>209</v>
      </c>
      <c r="J50" s="14"/>
      <c r="K50" s="14" t="s">
        <v>98</v>
      </c>
      <c r="L50" s="19" t="s">
        <v>194</v>
      </c>
    </row>
    <row r="51" spans="1:12" ht="22.8">
      <c r="A51" s="18">
        <v>46346</v>
      </c>
      <c r="B51" s="13">
        <v>46346</v>
      </c>
      <c r="C51" s="14" t="s">
        <v>92</v>
      </c>
      <c r="D51" s="14" t="s">
        <v>93</v>
      </c>
      <c r="E51" s="14" t="s">
        <v>216</v>
      </c>
      <c r="F51" s="14" t="s">
        <v>250</v>
      </c>
      <c r="G51" s="14" t="s">
        <v>218</v>
      </c>
      <c r="H51" s="14" t="s">
        <v>251</v>
      </c>
      <c r="I51" s="14" t="s">
        <v>138</v>
      </c>
      <c r="J51" s="14"/>
      <c r="K51" s="14" t="s">
        <v>98</v>
      </c>
      <c r="L51" s="19" t="s">
        <v>252</v>
      </c>
    </row>
    <row r="52" spans="1:12">
      <c r="A52" s="18">
        <v>46346</v>
      </c>
      <c r="B52" s="13">
        <v>46346</v>
      </c>
      <c r="C52" s="14" t="s">
        <v>92</v>
      </c>
      <c r="D52" s="14" t="s">
        <v>93</v>
      </c>
      <c r="E52" s="14" t="s">
        <v>216</v>
      </c>
      <c r="F52" s="14" t="s">
        <v>191</v>
      </c>
      <c r="G52" s="14" t="s">
        <v>218</v>
      </c>
      <c r="H52" s="14" t="s">
        <v>253</v>
      </c>
      <c r="I52" s="14" t="s">
        <v>209</v>
      </c>
      <c r="J52" s="14"/>
      <c r="K52" s="14" t="s">
        <v>98</v>
      </c>
      <c r="L52" s="19" t="s">
        <v>194</v>
      </c>
    </row>
    <row r="53" spans="1:12">
      <c r="A53" s="18">
        <v>46346</v>
      </c>
      <c r="B53" s="13">
        <v>46346</v>
      </c>
      <c r="C53" s="14" t="s">
        <v>92</v>
      </c>
      <c r="D53" s="14" t="s">
        <v>93</v>
      </c>
      <c r="E53" s="14" t="s">
        <v>159</v>
      </c>
      <c r="F53" s="14" t="s">
        <v>246</v>
      </c>
      <c r="G53" s="14" t="s">
        <v>161</v>
      </c>
      <c r="H53" s="14" t="s">
        <v>247</v>
      </c>
      <c r="I53" s="14"/>
      <c r="J53" s="14"/>
      <c r="K53" s="14" t="s">
        <v>98</v>
      </c>
      <c r="L53" s="19" t="s">
        <v>248</v>
      </c>
    </row>
    <row r="54" spans="1:12" ht="22.8">
      <c r="A54" s="18">
        <v>46346</v>
      </c>
      <c r="B54" s="13">
        <v>46346</v>
      </c>
      <c r="C54" s="14" t="s">
        <v>135</v>
      </c>
      <c r="D54" s="14" t="s">
        <v>136</v>
      </c>
      <c r="E54" s="14" t="s">
        <v>196</v>
      </c>
      <c r="F54" s="14" t="s">
        <v>139</v>
      </c>
      <c r="G54" s="14" t="s">
        <v>197</v>
      </c>
      <c r="H54" s="14" t="s">
        <v>198</v>
      </c>
      <c r="I54" s="14"/>
      <c r="J54" s="14"/>
      <c r="K54" s="14" t="s">
        <v>98</v>
      </c>
      <c r="L54" s="19" t="s">
        <v>142</v>
      </c>
    </row>
    <row r="55" spans="1:12">
      <c r="A55" s="18">
        <v>46347</v>
      </c>
      <c r="B55" s="13">
        <v>46347</v>
      </c>
      <c r="C55" s="14" t="s">
        <v>135</v>
      </c>
      <c r="D55" s="14" t="s">
        <v>136</v>
      </c>
      <c r="E55" s="14" t="s">
        <v>216</v>
      </c>
      <c r="F55" s="14" t="s">
        <v>217</v>
      </c>
      <c r="G55" s="14" t="s">
        <v>218</v>
      </c>
      <c r="H55" s="14" t="s">
        <v>219</v>
      </c>
      <c r="I55" s="14"/>
      <c r="J55" s="14"/>
      <c r="K55" s="14" t="s">
        <v>98</v>
      </c>
      <c r="L55" s="19" t="s">
        <v>221</v>
      </c>
    </row>
    <row r="56" spans="1:12">
      <c r="A56" s="18">
        <v>46350</v>
      </c>
      <c r="B56" s="13">
        <v>46350</v>
      </c>
      <c r="C56" s="14" t="s">
        <v>84</v>
      </c>
      <c r="D56" s="14" t="s">
        <v>85</v>
      </c>
      <c r="E56" s="14" t="s">
        <v>100</v>
      </c>
      <c r="F56" s="14" t="s">
        <v>206</v>
      </c>
      <c r="G56" s="14" t="s">
        <v>211</v>
      </c>
      <c r="H56" s="14" t="s">
        <v>212</v>
      </c>
      <c r="I56" s="14"/>
      <c r="J56" s="14"/>
      <c r="K56" s="14" t="s">
        <v>98</v>
      </c>
      <c r="L56" s="19" t="s">
        <v>210</v>
      </c>
    </row>
    <row r="57" spans="1:12">
      <c r="A57" s="18">
        <v>46350</v>
      </c>
      <c r="B57" s="13">
        <v>46350</v>
      </c>
      <c r="C57" s="14" t="s">
        <v>84</v>
      </c>
      <c r="D57" s="14" t="s">
        <v>85</v>
      </c>
      <c r="E57" s="14" t="s">
        <v>127</v>
      </c>
      <c r="F57" s="14" t="s">
        <v>206</v>
      </c>
      <c r="G57" s="14" t="s">
        <v>213</v>
      </c>
      <c r="H57" s="14" t="s">
        <v>212</v>
      </c>
      <c r="I57" s="14"/>
      <c r="J57" s="14"/>
      <c r="K57" s="14" t="s">
        <v>98</v>
      </c>
      <c r="L57" s="19" t="s">
        <v>210</v>
      </c>
    </row>
    <row r="58" spans="1:12">
      <c r="A58" s="18">
        <v>46351</v>
      </c>
      <c r="B58" s="13">
        <v>46351</v>
      </c>
      <c r="C58" s="14" t="s">
        <v>92</v>
      </c>
      <c r="D58" s="14" t="s">
        <v>93</v>
      </c>
      <c r="E58" s="14" t="s">
        <v>235</v>
      </c>
      <c r="F58" s="14" t="s">
        <v>254</v>
      </c>
      <c r="G58" s="14" t="s">
        <v>255</v>
      </c>
      <c r="H58" s="14" t="s">
        <v>256</v>
      </c>
      <c r="I58" s="14" t="s">
        <v>156</v>
      </c>
      <c r="J58" s="14"/>
      <c r="K58" s="14" t="s">
        <v>98</v>
      </c>
      <c r="L58" s="19" t="s">
        <v>257</v>
      </c>
    </row>
    <row r="59" spans="1:12">
      <c r="A59" s="18">
        <v>46351</v>
      </c>
      <c r="B59" s="13">
        <v>46351</v>
      </c>
      <c r="C59" s="14" t="s">
        <v>92</v>
      </c>
      <c r="D59" s="14" t="s">
        <v>93</v>
      </c>
      <c r="E59" s="14" t="s">
        <v>258</v>
      </c>
      <c r="F59" s="14" t="s">
        <v>259</v>
      </c>
      <c r="G59" s="14" t="s">
        <v>260</v>
      </c>
      <c r="H59" s="14" t="s">
        <v>261</v>
      </c>
      <c r="I59" s="14" t="s">
        <v>156</v>
      </c>
      <c r="J59" s="14"/>
      <c r="K59" s="14" t="s">
        <v>98</v>
      </c>
      <c r="L59" s="19" t="s">
        <v>262</v>
      </c>
    </row>
    <row r="60" spans="1:12">
      <c r="A60" s="18">
        <v>46351</v>
      </c>
      <c r="B60" s="13">
        <v>46351</v>
      </c>
      <c r="C60" s="14" t="s">
        <v>92</v>
      </c>
      <c r="D60" s="14" t="s">
        <v>93</v>
      </c>
      <c r="E60" s="14" t="s">
        <v>159</v>
      </c>
      <c r="F60" s="14" t="s">
        <v>263</v>
      </c>
      <c r="G60" s="14" t="s">
        <v>264</v>
      </c>
      <c r="H60" s="14" t="s">
        <v>261</v>
      </c>
      <c r="I60" s="14" t="s">
        <v>156</v>
      </c>
      <c r="J60" s="14"/>
      <c r="K60" s="14" t="s">
        <v>98</v>
      </c>
      <c r="L60" s="19" t="s">
        <v>262</v>
      </c>
    </row>
    <row r="61" spans="1:12">
      <c r="A61" s="18">
        <v>46352</v>
      </c>
      <c r="B61" s="13">
        <v>46352</v>
      </c>
      <c r="C61" s="14" t="s">
        <v>92</v>
      </c>
      <c r="D61" s="14" t="s">
        <v>93</v>
      </c>
      <c r="E61" s="14" t="s">
        <v>241</v>
      </c>
      <c r="F61" s="14" t="s">
        <v>265</v>
      </c>
      <c r="G61" s="14" t="s">
        <v>266</v>
      </c>
      <c r="H61" s="14" t="s">
        <v>267</v>
      </c>
      <c r="I61" s="14" t="s">
        <v>234</v>
      </c>
      <c r="J61" s="14"/>
      <c r="K61" s="14" t="s">
        <v>98</v>
      </c>
      <c r="L61" s="19" t="s">
        <v>268</v>
      </c>
    </row>
    <row r="62" spans="1:12">
      <c r="A62" s="18">
        <v>46352</v>
      </c>
      <c r="B62" s="13">
        <v>46352</v>
      </c>
      <c r="C62" s="14" t="s">
        <v>135</v>
      </c>
      <c r="D62" s="14" t="s">
        <v>136</v>
      </c>
      <c r="E62" s="14" t="s">
        <v>231</v>
      </c>
      <c r="F62" s="14" t="s">
        <v>200</v>
      </c>
      <c r="G62" s="14" t="s">
        <v>232</v>
      </c>
      <c r="H62" s="14" t="s">
        <v>233</v>
      </c>
      <c r="I62" s="14"/>
      <c r="J62" s="14"/>
      <c r="K62" s="14" t="s">
        <v>98</v>
      </c>
      <c r="L62" s="19" t="s">
        <v>203</v>
      </c>
    </row>
    <row r="63" spans="1:12" ht="22.8">
      <c r="A63" s="18">
        <v>46354</v>
      </c>
      <c r="B63" s="13">
        <v>46355</v>
      </c>
      <c r="C63" s="14" t="s">
        <v>135</v>
      </c>
      <c r="D63" s="14" t="s">
        <v>136</v>
      </c>
      <c r="E63" s="14" t="s">
        <v>222</v>
      </c>
      <c r="F63" s="14" t="s">
        <v>223</v>
      </c>
      <c r="G63" s="14" t="s">
        <v>224</v>
      </c>
      <c r="H63" s="14" t="s">
        <v>225</v>
      </c>
      <c r="I63" s="14"/>
      <c r="J63" s="14" t="s">
        <v>269</v>
      </c>
      <c r="K63" s="14" t="s">
        <v>98</v>
      </c>
      <c r="L63" s="19" t="s">
        <v>226</v>
      </c>
    </row>
    <row r="64" spans="1:12">
      <c r="A64" s="18">
        <v>46354</v>
      </c>
      <c r="B64" s="13">
        <v>46354</v>
      </c>
      <c r="C64" s="14" t="s">
        <v>135</v>
      </c>
      <c r="D64" s="14" t="s">
        <v>136</v>
      </c>
      <c r="E64" s="14" t="s">
        <v>235</v>
      </c>
      <c r="F64" s="14" t="s">
        <v>236</v>
      </c>
      <c r="G64" s="14" t="s">
        <v>237</v>
      </c>
      <c r="H64" s="14" t="s">
        <v>238</v>
      </c>
      <c r="I64" s="14"/>
      <c r="J64" s="14"/>
      <c r="K64" s="14" t="s">
        <v>98</v>
      </c>
      <c r="L64" s="19" t="s">
        <v>239</v>
      </c>
    </row>
    <row r="65" spans="1:12">
      <c r="A65" s="18">
        <v>46354</v>
      </c>
      <c r="B65" s="13">
        <v>46354</v>
      </c>
      <c r="C65" s="14" t="s">
        <v>135</v>
      </c>
      <c r="D65" s="14" t="s">
        <v>136</v>
      </c>
      <c r="E65" s="14" t="s">
        <v>235</v>
      </c>
      <c r="F65" s="14" t="s">
        <v>254</v>
      </c>
      <c r="G65" s="14" t="s">
        <v>255</v>
      </c>
      <c r="H65" s="14" t="s">
        <v>256</v>
      </c>
      <c r="I65" s="14"/>
      <c r="J65" s="14"/>
      <c r="K65" s="14" t="s">
        <v>98</v>
      </c>
      <c r="L65" s="19" t="s">
        <v>257</v>
      </c>
    </row>
    <row r="66" spans="1:12" ht="22.8">
      <c r="A66" s="18">
        <v>46354</v>
      </c>
      <c r="B66" s="13">
        <v>46354</v>
      </c>
      <c r="C66" s="14" t="s">
        <v>135</v>
      </c>
      <c r="D66" s="14" t="s">
        <v>136</v>
      </c>
      <c r="E66" s="14" t="s">
        <v>216</v>
      </c>
      <c r="F66" s="14" t="s">
        <v>250</v>
      </c>
      <c r="G66" s="14" t="s">
        <v>218</v>
      </c>
      <c r="H66" s="14" t="s">
        <v>251</v>
      </c>
      <c r="I66" s="14"/>
      <c r="J66" s="14"/>
      <c r="K66" s="14" t="s">
        <v>98</v>
      </c>
      <c r="L66" s="19" t="s">
        <v>252</v>
      </c>
    </row>
    <row r="67" spans="1:12">
      <c r="A67" s="18">
        <v>46354</v>
      </c>
      <c r="B67" s="13">
        <v>46354</v>
      </c>
      <c r="C67" s="14" t="s">
        <v>135</v>
      </c>
      <c r="D67" s="14" t="s">
        <v>136</v>
      </c>
      <c r="E67" s="14" t="s">
        <v>159</v>
      </c>
      <c r="F67" s="14" t="s">
        <v>246</v>
      </c>
      <c r="G67" s="14" t="s">
        <v>161</v>
      </c>
      <c r="H67" s="14" t="s">
        <v>247</v>
      </c>
      <c r="I67" s="14" t="s">
        <v>190</v>
      </c>
      <c r="J67" s="14" t="s">
        <v>270</v>
      </c>
      <c r="K67" s="14" t="s">
        <v>98</v>
      </c>
      <c r="L67" s="19" t="s">
        <v>248</v>
      </c>
    </row>
    <row r="68" spans="1:12">
      <c r="A68" s="18">
        <v>46355</v>
      </c>
      <c r="B68" s="13">
        <v>46355</v>
      </c>
      <c r="C68" s="14" t="s">
        <v>135</v>
      </c>
      <c r="D68" s="14" t="s">
        <v>136</v>
      </c>
      <c r="E68" s="14" t="s">
        <v>241</v>
      </c>
      <c r="F68" s="14" t="s">
        <v>246</v>
      </c>
      <c r="G68" s="14" t="s">
        <v>207</v>
      </c>
      <c r="H68" s="14" t="s">
        <v>247</v>
      </c>
      <c r="I68" s="14" t="s">
        <v>190</v>
      </c>
      <c r="J68" s="14" t="s">
        <v>271</v>
      </c>
      <c r="K68" s="14" t="s">
        <v>98</v>
      </c>
      <c r="L68" s="19" t="s">
        <v>248</v>
      </c>
    </row>
    <row r="69" spans="1:12">
      <c r="A69" s="18">
        <v>46358</v>
      </c>
      <c r="B69" s="13">
        <v>46358</v>
      </c>
      <c r="C69" s="14" t="s">
        <v>135</v>
      </c>
      <c r="D69" s="14" t="s">
        <v>136</v>
      </c>
      <c r="E69" s="14" t="s">
        <v>205</v>
      </c>
      <c r="F69" s="14" t="s">
        <v>206</v>
      </c>
      <c r="G69" s="14" t="s">
        <v>207</v>
      </c>
      <c r="H69" s="14" t="s">
        <v>208</v>
      </c>
      <c r="I69" s="14"/>
      <c r="J69" s="14"/>
      <c r="K69" s="14" t="s">
        <v>98</v>
      </c>
      <c r="L69" s="19" t="s">
        <v>210</v>
      </c>
    </row>
    <row r="70" spans="1:12">
      <c r="A70" s="18">
        <v>46358</v>
      </c>
      <c r="B70" s="13">
        <v>46358</v>
      </c>
      <c r="C70" s="14" t="s">
        <v>135</v>
      </c>
      <c r="D70" s="14" t="s">
        <v>136</v>
      </c>
      <c r="E70" s="14" t="s">
        <v>235</v>
      </c>
      <c r="F70" s="14" t="s">
        <v>191</v>
      </c>
      <c r="G70" s="14" t="s">
        <v>240</v>
      </c>
      <c r="H70" s="14" t="s">
        <v>230</v>
      </c>
      <c r="I70" s="14"/>
      <c r="J70" s="14"/>
      <c r="K70" s="14" t="s">
        <v>98</v>
      </c>
      <c r="L70" s="19" t="s">
        <v>194</v>
      </c>
    </row>
    <row r="71" spans="1:12">
      <c r="A71" s="18">
        <v>46358</v>
      </c>
      <c r="B71" s="13">
        <v>46358</v>
      </c>
      <c r="C71" s="14" t="s">
        <v>135</v>
      </c>
      <c r="D71" s="14" t="s">
        <v>136</v>
      </c>
      <c r="E71" s="14" t="s">
        <v>216</v>
      </c>
      <c r="F71" s="14" t="s">
        <v>191</v>
      </c>
      <c r="G71" s="14" t="s">
        <v>218</v>
      </c>
      <c r="H71" s="14" t="s">
        <v>253</v>
      </c>
      <c r="I71" s="14"/>
      <c r="J71" s="14"/>
      <c r="K71" s="14" t="s">
        <v>98</v>
      </c>
      <c r="L71" s="19" t="s">
        <v>194</v>
      </c>
    </row>
    <row r="72" spans="1:12">
      <c r="A72" s="18">
        <v>46359</v>
      </c>
      <c r="B72" s="13">
        <v>46359</v>
      </c>
      <c r="C72" s="14" t="s">
        <v>135</v>
      </c>
      <c r="D72" s="14" t="s">
        <v>136</v>
      </c>
      <c r="E72" s="14" t="s">
        <v>205</v>
      </c>
      <c r="F72" s="14" t="s">
        <v>191</v>
      </c>
      <c r="G72" s="14" t="s">
        <v>229</v>
      </c>
      <c r="H72" s="14" t="s">
        <v>230</v>
      </c>
      <c r="I72" s="14"/>
      <c r="J72" s="14"/>
      <c r="K72" s="14" t="s">
        <v>98</v>
      </c>
      <c r="L72" s="19" t="s">
        <v>194</v>
      </c>
    </row>
    <row r="73" spans="1:12">
      <c r="A73" s="18">
        <v>46360</v>
      </c>
      <c r="B73" s="13">
        <v>46360</v>
      </c>
      <c r="C73" s="14" t="s">
        <v>135</v>
      </c>
      <c r="D73" s="14" t="s">
        <v>136</v>
      </c>
      <c r="E73" s="14" t="s">
        <v>241</v>
      </c>
      <c r="F73" s="14" t="s">
        <v>191</v>
      </c>
      <c r="G73" s="14" t="s">
        <v>249</v>
      </c>
      <c r="H73" s="14" t="s">
        <v>230</v>
      </c>
      <c r="I73" s="14"/>
      <c r="J73" s="14"/>
      <c r="K73" s="14" t="s">
        <v>98</v>
      </c>
      <c r="L73" s="19" t="s">
        <v>194</v>
      </c>
    </row>
    <row r="74" spans="1:12">
      <c r="A74" s="18">
        <v>46361</v>
      </c>
      <c r="B74" s="13">
        <v>46361</v>
      </c>
      <c r="C74" s="14" t="s">
        <v>135</v>
      </c>
      <c r="D74" s="14" t="s">
        <v>136</v>
      </c>
      <c r="E74" s="14" t="s">
        <v>241</v>
      </c>
      <c r="F74" s="14" t="s">
        <v>265</v>
      </c>
      <c r="G74" s="14" t="s">
        <v>266</v>
      </c>
      <c r="H74" s="14" t="s">
        <v>267</v>
      </c>
      <c r="I74" s="14"/>
      <c r="J74" s="14"/>
      <c r="K74" s="14" t="s">
        <v>98</v>
      </c>
      <c r="L74" s="19" t="s">
        <v>268</v>
      </c>
    </row>
    <row r="75" spans="1:12">
      <c r="A75" s="18">
        <v>46361</v>
      </c>
      <c r="B75" s="13">
        <v>46361</v>
      </c>
      <c r="C75" s="14" t="s">
        <v>135</v>
      </c>
      <c r="D75" s="14" t="s">
        <v>136</v>
      </c>
      <c r="E75" s="14" t="s">
        <v>258</v>
      </c>
      <c r="F75" s="14" t="s">
        <v>259</v>
      </c>
      <c r="G75" s="14" t="s">
        <v>260</v>
      </c>
      <c r="H75" s="14" t="s">
        <v>261</v>
      </c>
      <c r="I75" s="14" t="s">
        <v>272</v>
      </c>
      <c r="J75" s="14" t="s">
        <v>273</v>
      </c>
      <c r="K75" s="14" t="s">
        <v>98</v>
      </c>
      <c r="L75" s="19" t="s">
        <v>262</v>
      </c>
    </row>
    <row r="76" spans="1:12">
      <c r="A76" s="18">
        <v>46361</v>
      </c>
      <c r="B76" s="13">
        <v>46361</v>
      </c>
      <c r="C76" s="14" t="s">
        <v>135</v>
      </c>
      <c r="D76" s="14" t="s">
        <v>136</v>
      </c>
      <c r="E76" s="14" t="s">
        <v>159</v>
      </c>
      <c r="F76" s="14" t="s">
        <v>263</v>
      </c>
      <c r="G76" s="14" t="s">
        <v>264</v>
      </c>
      <c r="H76" s="14" t="s">
        <v>261</v>
      </c>
      <c r="I76" s="14" t="s">
        <v>274</v>
      </c>
      <c r="J76" s="14" t="s">
        <v>275</v>
      </c>
      <c r="K76" s="14" t="s">
        <v>98</v>
      </c>
      <c r="L76" s="19" t="s">
        <v>262</v>
      </c>
    </row>
    <row r="77" spans="1:12" ht="22.8">
      <c r="A77" s="18">
        <v>46362</v>
      </c>
      <c r="B77" s="13">
        <v>46362</v>
      </c>
      <c r="C77" s="14" t="s">
        <v>135</v>
      </c>
      <c r="D77" s="14" t="s">
        <v>136</v>
      </c>
      <c r="E77" s="14" t="s">
        <v>205</v>
      </c>
      <c r="F77" s="14" t="s">
        <v>154</v>
      </c>
      <c r="G77" s="14" t="s">
        <v>227</v>
      </c>
      <c r="H77" s="14" t="s">
        <v>228</v>
      </c>
      <c r="I77" s="14"/>
      <c r="J77" s="14"/>
      <c r="K77" s="14" t="s">
        <v>98</v>
      </c>
      <c r="L77" s="19" t="s">
        <v>157</v>
      </c>
    </row>
    <row r="78" spans="1:12">
      <c r="A78" s="20">
        <v>46362</v>
      </c>
      <c r="B78" s="21">
        <v>46362</v>
      </c>
      <c r="C78" s="22" t="s">
        <v>135</v>
      </c>
      <c r="D78" s="22" t="s">
        <v>136</v>
      </c>
      <c r="E78" s="22" t="s">
        <v>241</v>
      </c>
      <c r="F78" s="22" t="s">
        <v>242</v>
      </c>
      <c r="G78" s="22" t="s">
        <v>243</v>
      </c>
      <c r="H78" s="22" t="s">
        <v>244</v>
      </c>
      <c r="I78" s="22"/>
      <c r="J78" s="22"/>
      <c r="K78" s="22" t="s">
        <v>98</v>
      </c>
      <c r="L78" s="23" t="s">
        <v>245</v>
      </c>
    </row>
  </sheetData>
  <mergeCells count="2">
    <mergeCell ref="A1:L1"/>
    <mergeCell ref="A2:L2"/>
  </mergeCells>
  <phoneticPr fontId="14" type="noConversion"/>
  <conditionalFormatting sqref="C6:C78">
    <cfRule type="expression" dxfId="2" priority="1">
      <formula>$C6="1단계"</formula>
    </cfRule>
    <cfRule type="expression" dxfId="1" priority="2">
      <formula>$C6="면접"</formula>
    </cfRule>
    <cfRule type="expression" dxfId="0" priority="3">
      <formula>$C6="실기"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sqref="A1:H1"/>
    </sheetView>
  </sheetViews>
  <sheetFormatPr defaultRowHeight="13.8"/>
  <cols>
    <col min="1" max="1" width="12" customWidth="1"/>
    <col min="2" max="2" width="10" customWidth="1"/>
    <col min="3" max="3" width="23" customWidth="1"/>
    <col min="4" max="4" width="28" customWidth="1"/>
    <col min="5" max="5" width="34" customWidth="1"/>
    <col min="6" max="6" width="14" customWidth="1"/>
    <col min="7" max="7" width="40" customWidth="1"/>
    <col min="8" max="8" width="48" customWidth="1"/>
  </cols>
  <sheetData>
    <row r="1" spans="1:8" ht="25.65" customHeight="1">
      <c r="A1" s="41" t="s">
        <v>276</v>
      </c>
      <c r="B1" s="41"/>
      <c r="C1" s="41"/>
      <c r="D1" s="41"/>
      <c r="E1" s="41"/>
      <c r="F1" s="41"/>
      <c r="G1" s="41"/>
      <c r="H1" s="41"/>
    </row>
    <row r="2" spans="1:8" ht="19.2" customHeight="1">
      <c r="A2" s="42" t="s">
        <v>277</v>
      </c>
      <c r="B2" s="42"/>
      <c r="C2" s="42"/>
      <c r="D2" s="42"/>
      <c r="E2" s="42"/>
      <c r="F2" s="42"/>
      <c r="G2" s="42"/>
      <c r="H2" s="42"/>
    </row>
    <row r="4" spans="1:8">
      <c r="A4" s="24" t="s">
        <v>72</v>
      </c>
      <c r="B4" s="25" t="s">
        <v>76</v>
      </c>
      <c r="C4" s="25" t="s">
        <v>77</v>
      </c>
      <c r="D4" s="25" t="s">
        <v>78</v>
      </c>
      <c r="E4" s="25" t="s">
        <v>278</v>
      </c>
      <c r="F4" s="25" t="s">
        <v>80</v>
      </c>
      <c r="G4" s="25" t="s">
        <v>81</v>
      </c>
      <c r="H4" s="26" t="s">
        <v>279</v>
      </c>
    </row>
    <row r="5" spans="1:8">
      <c r="A5" s="18">
        <v>46358</v>
      </c>
      <c r="B5" s="14" t="s">
        <v>205</v>
      </c>
      <c r="C5" s="14" t="s">
        <v>206</v>
      </c>
      <c r="D5" s="14" t="s">
        <v>207</v>
      </c>
      <c r="E5" s="14" t="s">
        <v>208</v>
      </c>
      <c r="F5" s="14"/>
      <c r="G5" s="14"/>
      <c r="H5" s="19" t="s">
        <v>210</v>
      </c>
    </row>
    <row r="6" spans="1:8">
      <c r="A6" s="18">
        <v>46358</v>
      </c>
      <c r="B6" s="14" t="s">
        <v>235</v>
      </c>
      <c r="C6" s="14" t="s">
        <v>191</v>
      </c>
      <c r="D6" s="14" t="s">
        <v>240</v>
      </c>
      <c r="E6" s="14" t="s">
        <v>230</v>
      </c>
      <c r="F6" s="14"/>
      <c r="G6" s="14"/>
      <c r="H6" s="19" t="s">
        <v>194</v>
      </c>
    </row>
    <row r="7" spans="1:8">
      <c r="A7" s="18">
        <v>46358</v>
      </c>
      <c r="B7" s="14" t="s">
        <v>216</v>
      </c>
      <c r="C7" s="14" t="s">
        <v>191</v>
      </c>
      <c r="D7" s="14" t="s">
        <v>218</v>
      </c>
      <c r="E7" s="14" t="s">
        <v>253</v>
      </c>
      <c r="F7" s="14"/>
      <c r="G7" s="14"/>
      <c r="H7" s="19" t="s">
        <v>194</v>
      </c>
    </row>
    <row r="8" spans="1:8">
      <c r="A8" s="18">
        <v>46359</v>
      </c>
      <c r="B8" s="14" t="s">
        <v>205</v>
      </c>
      <c r="C8" s="14" t="s">
        <v>191</v>
      </c>
      <c r="D8" s="14" t="s">
        <v>229</v>
      </c>
      <c r="E8" s="14" t="s">
        <v>230</v>
      </c>
      <c r="F8" s="14"/>
      <c r="G8" s="14"/>
      <c r="H8" s="19" t="s">
        <v>194</v>
      </c>
    </row>
    <row r="9" spans="1:8">
      <c r="A9" s="18">
        <v>46360</v>
      </c>
      <c r="B9" s="14" t="s">
        <v>241</v>
      </c>
      <c r="C9" s="14" t="s">
        <v>191</v>
      </c>
      <c r="D9" s="14" t="s">
        <v>249</v>
      </c>
      <c r="E9" s="14" t="s">
        <v>230</v>
      </c>
      <c r="F9" s="14"/>
      <c r="G9" s="14"/>
      <c r="H9" s="19" t="s">
        <v>194</v>
      </c>
    </row>
    <row r="10" spans="1:8">
      <c r="A10" s="18">
        <v>46361</v>
      </c>
      <c r="B10" s="14" t="s">
        <v>241</v>
      </c>
      <c r="C10" s="14" t="s">
        <v>265</v>
      </c>
      <c r="D10" s="14" t="s">
        <v>266</v>
      </c>
      <c r="E10" s="14" t="s">
        <v>267</v>
      </c>
      <c r="F10" s="14"/>
      <c r="G10" s="14"/>
      <c r="H10" s="19" t="s">
        <v>268</v>
      </c>
    </row>
    <row r="11" spans="1:8">
      <c r="A11" s="18">
        <v>46361</v>
      </c>
      <c r="B11" s="14" t="s">
        <v>258</v>
      </c>
      <c r="C11" s="14" t="s">
        <v>259</v>
      </c>
      <c r="D11" s="14" t="s">
        <v>260</v>
      </c>
      <c r="E11" s="14" t="s">
        <v>261</v>
      </c>
      <c r="F11" s="14" t="s">
        <v>272</v>
      </c>
      <c r="G11" s="14" t="s">
        <v>273</v>
      </c>
      <c r="H11" s="19" t="s">
        <v>262</v>
      </c>
    </row>
    <row r="12" spans="1:8">
      <c r="A12" s="18">
        <v>46361</v>
      </c>
      <c r="B12" s="14" t="s">
        <v>159</v>
      </c>
      <c r="C12" s="14" t="s">
        <v>263</v>
      </c>
      <c r="D12" s="14" t="s">
        <v>264</v>
      </c>
      <c r="E12" s="14" t="s">
        <v>261</v>
      </c>
      <c r="F12" s="14" t="s">
        <v>274</v>
      </c>
      <c r="G12" s="14" t="s">
        <v>275</v>
      </c>
      <c r="H12" s="19" t="s">
        <v>262</v>
      </c>
    </row>
    <row r="13" spans="1:8" ht="22.8">
      <c r="A13" s="18">
        <v>46362</v>
      </c>
      <c r="B13" s="14" t="s">
        <v>205</v>
      </c>
      <c r="C13" s="14" t="s">
        <v>154</v>
      </c>
      <c r="D13" s="14" t="s">
        <v>227</v>
      </c>
      <c r="E13" s="14" t="s">
        <v>228</v>
      </c>
      <c r="F13" s="14"/>
      <c r="G13" s="14"/>
      <c r="H13" s="19" t="s">
        <v>157</v>
      </c>
    </row>
    <row r="14" spans="1:8">
      <c r="A14" s="20">
        <v>46362</v>
      </c>
      <c r="B14" s="22" t="s">
        <v>241</v>
      </c>
      <c r="C14" s="22" t="s">
        <v>242</v>
      </c>
      <c r="D14" s="22" t="s">
        <v>243</v>
      </c>
      <c r="E14" s="22" t="s">
        <v>244</v>
      </c>
      <c r="F14" s="22"/>
      <c r="G14" s="22"/>
      <c r="H14" s="23" t="s">
        <v>245</v>
      </c>
    </row>
  </sheetData>
  <mergeCells count="2">
    <mergeCell ref="A1:H1"/>
    <mergeCell ref="A2:H2"/>
  </mergeCells>
  <phoneticPr fontId="1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6"/>
  <sheetViews>
    <sheetView workbookViewId="0">
      <selection sqref="A1:M1"/>
    </sheetView>
  </sheetViews>
  <sheetFormatPr defaultRowHeight="13.8"/>
  <cols>
    <col min="1" max="1" width="10" customWidth="1"/>
    <col min="2" max="2" width="24" customWidth="1"/>
    <col min="3" max="3" width="30" customWidth="1"/>
    <col min="4" max="4" width="20" customWidth="1"/>
    <col min="5" max="5" width="36" customWidth="1"/>
    <col min="6" max="6" width="14" customWidth="1"/>
    <col min="7" max="8" width="20" customWidth="1"/>
    <col min="9" max="11" width="23" customWidth="1"/>
    <col min="12" max="12" width="28" customWidth="1"/>
    <col min="13" max="13" width="48" customWidth="1"/>
  </cols>
  <sheetData>
    <row r="1" spans="1:13" ht="25.65" customHeight="1">
      <c r="A1" s="41" t="s">
        <v>280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25.65" customHeight="1">
      <c r="A2" s="40" t="s">
        <v>281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4" spans="1:13" ht="22.35" customHeight="1">
      <c r="A4" s="27" t="s">
        <v>76</v>
      </c>
      <c r="B4" s="28" t="s">
        <v>77</v>
      </c>
      <c r="C4" s="28" t="s">
        <v>78</v>
      </c>
      <c r="D4" s="28" t="s">
        <v>282</v>
      </c>
      <c r="E4" s="28" t="s">
        <v>283</v>
      </c>
      <c r="F4" s="28" t="s">
        <v>284</v>
      </c>
      <c r="G4" s="28" t="s">
        <v>285</v>
      </c>
      <c r="H4" s="28" t="s">
        <v>286</v>
      </c>
      <c r="I4" s="28" t="s">
        <v>287</v>
      </c>
      <c r="J4" s="28" t="s">
        <v>288</v>
      </c>
      <c r="K4" s="28" t="s">
        <v>289</v>
      </c>
      <c r="L4" s="28" t="s">
        <v>82</v>
      </c>
      <c r="M4" s="29" t="s">
        <v>290</v>
      </c>
    </row>
    <row r="5" spans="1:13">
      <c r="A5" s="30" t="s">
        <v>222</v>
      </c>
      <c r="B5" s="14" t="s">
        <v>291</v>
      </c>
      <c r="C5" s="14" t="s">
        <v>292</v>
      </c>
      <c r="D5" s="14" t="s">
        <v>293</v>
      </c>
      <c r="E5" s="14" t="s">
        <v>294</v>
      </c>
      <c r="F5" s="14" t="s">
        <v>295</v>
      </c>
      <c r="G5" s="14"/>
      <c r="H5" s="14"/>
      <c r="I5" s="14"/>
      <c r="J5" s="14"/>
      <c r="K5" s="14"/>
      <c r="L5" s="14"/>
      <c r="M5" s="19"/>
    </row>
    <row r="6" spans="1:13">
      <c r="A6" s="30" t="s">
        <v>222</v>
      </c>
      <c r="B6" s="14" t="s">
        <v>291</v>
      </c>
      <c r="C6" s="14" t="s">
        <v>296</v>
      </c>
      <c r="D6" s="14" t="s">
        <v>293</v>
      </c>
      <c r="E6" s="14" t="s">
        <v>297</v>
      </c>
      <c r="F6" s="14" t="s">
        <v>295</v>
      </c>
      <c r="G6" s="14"/>
      <c r="H6" s="14"/>
      <c r="I6" s="14"/>
      <c r="J6" s="14"/>
      <c r="K6" s="14"/>
      <c r="L6" s="14"/>
      <c r="M6" s="19"/>
    </row>
    <row r="7" spans="1:13">
      <c r="A7" s="30" t="s">
        <v>222</v>
      </c>
      <c r="B7" s="14" t="s">
        <v>139</v>
      </c>
      <c r="C7" s="14" t="s">
        <v>298</v>
      </c>
      <c r="D7" s="14" t="s">
        <v>293</v>
      </c>
      <c r="E7" s="14" t="s">
        <v>299</v>
      </c>
      <c r="F7" s="14" t="s">
        <v>295</v>
      </c>
      <c r="G7" s="14"/>
      <c r="H7" s="14"/>
      <c r="I7" s="14"/>
      <c r="J7" s="14"/>
      <c r="K7" s="14"/>
      <c r="L7" s="14"/>
      <c r="M7" s="19"/>
    </row>
    <row r="8" spans="1:13" ht="22.8">
      <c r="A8" s="30" t="s">
        <v>222</v>
      </c>
      <c r="B8" s="14" t="s">
        <v>223</v>
      </c>
      <c r="C8" s="14" t="s">
        <v>224</v>
      </c>
      <c r="D8" s="14" t="s">
        <v>300</v>
      </c>
      <c r="E8" s="14" t="s">
        <v>225</v>
      </c>
      <c r="F8" s="14" t="s">
        <v>301</v>
      </c>
      <c r="G8" s="14" t="s">
        <v>302</v>
      </c>
      <c r="H8" s="14"/>
      <c r="I8" s="14" t="s">
        <v>303</v>
      </c>
      <c r="J8" s="14" t="s">
        <v>304</v>
      </c>
      <c r="K8" s="14"/>
      <c r="L8" s="14" t="s">
        <v>305</v>
      </c>
      <c r="M8" s="19" t="s">
        <v>226</v>
      </c>
    </row>
    <row r="9" spans="1:13">
      <c r="A9" s="30" t="s">
        <v>222</v>
      </c>
      <c r="B9" s="14" t="s">
        <v>306</v>
      </c>
      <c r="C9" s="14" t="s">
        <v>307</v>
      </c>
      <c r="D9" s="14" t="s">
        <v>293</v>
      </c>
      <c r="E9" s="14" t="s">
        <v>294</v>
      </c>
      <c r="F9" s="14" t="s">
        <v>295</v>
      </c>
      <c r="G9" s="14"/>
      <c r="H9" s="14"/>
      <c r="I9" s="14"/>
      <c r="J9" s="14"/>
      <c r="K9" s="14"/>
      <c r="L9" s="14"/>
      <c r="M9" s="19"/>
    </row>
    <row r="10" spans="1:13">
      <c r="A10" s="30" t="s">
        <v>222</v>
      </c>
      <c r="B10" s="14" t="s">
        <v>308</v>
      </c>
      <c r="C10" s="14" t="s">
        <v>309</v>
      </c>
      <c r="D10" s="14" t="s">
        <v>293</v>
      </c>
      <c r="E10" s="14" t="s">
        <v>310</v>
      </c>
      <c r="F10" s="14" t="s">
        <v>295</v>
      </c>
      <c r="G10" s="14"/>
      <c r="H10" s="14"/>
      <c r="I10" s="14"/>
      <c r="J10" s="14"/>
      <c r="K10" s="14"/>
      <c r="L10" s="14"/>
      <c r="M10" s="19"/>
    </row>
    <row r="11" spans="1:13">
      <c r="A11" s="30" t="s">
        <v>311</v>
      </c>
      <c r="B11" s="14" t="s">
        <v>123</v>
      </c>
      <c r="C11" s="14" t="s">
        <v>312</v>
      </c>
      <c r="D11" s="14" t="s">
        <v>293</v>
      </c>
      <c r="E11" s="14" t="s">
        <v>313</v>
      </c>
      <c r="F11" s="14" t="s">
        <v>295</v>
      </c>
      <c r="G11" s="14"/>
      <c r="H11" s="14"/>
      <c r="I11" s="14"/>
      <c r="J11" s="14"/>
      <c r="K11" s="14"/>
      <c r="L11" s="14"/>
      <c r="M11" s="19"/>
    </row>
    <row r="12" spans="1:13">
      <c r="A12" s="30" t="s">
        <v>311</v>
      </c>
      <c r="B12" s="14" t="s">
        <v>314</v>
      </c>
      <c r="C12" s="14" t="s">
        <v>315</v>
      </c>
      <c r="D12" s="14" t="s">
        <v>293</v>
      </c>
      <c r="E12" s="14" t="s">
        <v>297</v>
      </c>
      <c r="F12" s="14" t="s">
        <v>295</v>
      </c>
      <c r="G12" s="14"/>
      <c r="H12" s="14"/>
      <c r="I12" s="14"/>
      <c r="J12" s="14"/>
      <c r="K12" s="14"/>
      <c r="L12" s="14"/>
      <c r="M12" s="19"/>
    </row>
    <row r="13" spans="1:13">
      <c r="A13" s="30" t="s">
        <v>311</v>
      </c>
      <c r="B13" s="14" t="s">
        <v>316</v>
      </c>
      <c r="C13" s="14" t="s">
        <v>312</v>
      </c>
      <c r="D13" s="14" t="s">
        <v>293</v>
      </c>
      <c r="E13" s="14" t="s">
        <v>317</v>
      </c>
      <c r="F13" s="14" t="s">
        <v>295</v>
      </c>
      <c r="G13" s="14"/>
      <c r="H13" s="14"/>
      <c r="I13" s="14"/>
      <c r="J13" s="14"/>
      <c r="K13" s="14"/>
      <c r="L13" s="14"/>
      <c r="M13" s="19"/>
    </row>
    <row r="14" spans="1:13">
      <c r="A14" s="30" t="s">
        <v>311</v>
      </c>
      <c r="B14" s="14" t="s">
        <v>318</v>
      </c>
      <c r="C14" s="14" t="s">
        <v>319</v>
      </c>
      <c r="D14" s="14" t="s">
        <v>300</v>
      </c>
      <c r="E14" s="14" t="s">
        <v>320</v>
      </c>
      <c r="F14" s="14" t="s">
        <v>295</v>
      </c>
      <c r="G14" s="14"/>
      <c r="H14" s="14"/>
      <c r="I14" s="14"/>
      <c r="J14" s="14"/>
      <c r="K14" s="14"/>
      <c r="L14" s="14"/>
      <c r="M14" s="19"/>
    </row>
    <row r="15" spans="1:13">
      <c r="A15" s="30" t="s">
        <v>311</v>
      </c>
      <c r="B15" s="14" t="s">
        <v>321</v>
      </c>
      <c r="C15" s="14" t="s">
        <v>322</v>
      </c>
      <c r="D15" s="14" t="s">
        <v>293</v>
      </c>
      <c r="E15" s="14" t="s">
        <v>297</v>
      </c>
      <c r="F15" s="14" t="s">
        <v>295</v>
      </c>
      <c r="G15" s="14"/>
      <c r="H15" s="14"/>
      <c r="I15" s="14"/>
      <c r="J15" s="14"/>
      <c r="K15" s="14"/>
      <c r="L15" s="14"/>
      <c r="M15" s="19"/>
    </row>
    <row r="16" spans="1:13">
      <c r="A16" s="30" t="s">
        <v>311</v>
      </c>
      <c r="B16" s="14" t="s">
        <v>149</v>
      </c>
      <c r="C16" s="14" t="s">
        <v>312</v>
      </c>
      <c r="D16" s="14" t="s">
        <v>293</v>
      </c>
      <c r="E16" s="14" t="s">
        <v>297</v>
      </c>
      <c r="F16" s="14" t="s">
        <v>295</v>
      </c>
      <c r="G16" s="14"/>
      <c r="H16" s="14"/>
      <c r="I16" s="14"/>
      <c r="J16" s="14"/>
      <c r="K16" s="14"/>
      <c r="L16" s="14"/>
      <c r="M16" s="19"/>
    </row>
    <row r="17" spans="1:13">
      <c r="A17" s="30" t="s">
        <v>323</v>
      </c>
      <c r="B17" s="14" t="s">
        <v>123</v>
      </c>
      <c r="C17" s="14" t="s">
        <v>324</v>
      </c>
      <c r="D17" s="14" t="s">
        <v>293</v>
      </c>
      <c r="E17" s="14" t="s">
        <v>313</v>
      </c>
      <c r="F17" s="14" t="s">
        <v>295</v>
      </c>
      <c r="G17" s="14"/>
      <c r="H17" s="14"/>
      <c r="I17" s="14"/>
      <c r="J17" s="14"/>
      <c r="K17" s="14"/>
      <c r="L17" s="14"/>
      <c r="M17" s="19"/>
    </row>
    <row r="18" spans="1:13">
      <c r="A18" s="30" t="s">
        <v>323</v>
      </c>
      <c r="B18" s="14" t="s">
        <v>186</v>
      </c>
      <c r="C18" s="14" t="s">
        <v>324</v>
      </c>
      <c r="D18" s="14" t="s">
        <v>293</v>
      </c>
      <c r="E18" s="14" t="s">
        <v>325</v>
      </c>
      <c r="F18" s="14" t="s">
        <v>295</v>
      </c>
      <c r="G18" s="14"/>
      <c r="H18" s="14"/>
      <c r="I18" s="14"/>
      <c r="J18" s="14"/>
      <c r="K18" s="14"/>
      <c r="L18" s="14"/>
      <c r="M18" s="19"/>
    </row>
    <row r="19" spans="1:13">
      <c r="A19" s="30" t="s">
        <v>323</v>
      </c>
      <c r="B19" s="14" t="s">
        <v>306</v>
      </c>
      <c r="C19" s="14" t="s">
        <v>324</v>
      </c>
      <c r="D19" s="14" t="s">
        <v>293</v>
      </c>
      <c r="E19" s="14" t="s">
        <v>294</v>
      </c>
      <c r="F19" s="14" t="s">
        <v>295</v>
      </c>
      <c r="G19" s="14"/>
      <c r="H19" s="14"/>
      <c r="I19" s="14"/>
      <c r="J19" s="14"/>
      <c r="K19" s="14"/>
      <c r="L19" s="14"/>
      <c r="M19" s="19"/>
    </row>
    <row r="20" spans="1:13">
      <c r="A20" s="30" t="s">
        <v>323</v>
      </c>
      <c r="B20" s="14" t="s">
        <v>308</v>
      </c>
      <c r="C20" s="14" t="s">
        <v>324</v>
      </c>
      <c r="D20" s="14" t="s">
        <v>293</v>
      </c>
      <c r="E20" s="14" t="s">
        <v>294</v>
      </c>
      <c r="F20" s="14" t="s">
        <v>295</v>
      </c>
      <c r="G20" s="14"/>
      <c r="H20" s="14"/>
      <c r="I20" s="14"/>
      <c r="J20" s="14"/>
      <c r="K20" s="14"/>
      <c r="L20" s="14"/>
      <c r="M20" s="19"/>
    </row>
    <row r="21" spans="1:13">
      <c r="A21" s="30" t="s">
        <v>323</v>
      </c>
      <c r="B21" s="14" t="s">
        <v>321</v>
      </c>
      <c r="C21" s="14" t="s">
        <v>326</v>
      </c>
      <c r="D21" s="14" t="s">
        <v>293</v>
      </c>
      <c r="E21" s="14" t="s">
        <v>327</v>
      </c>
      <c r="F21" s="14" t="s">
        <v>295</v>
      </c>
      <c r="G21" s="14"/>
      <c r="H21" s="14"/>
      <c r="I21" s="14"/>
      <c r="J21" s="14"/>
      <c r="K21" s="14"/>
      <c r="L21" s="14"/>
      <c r="M21" s="19"/>
    </row>
    <row r="22" spans="1:13">
      <c r="A22" s="30" t="s">
        <v>323</v>
      </c>
      <c r="B22" s="14" t="s">
        <v>328</v>
      </c>
      <c r="C22" s="14" t="s">
        <v>324</v>
      </c>
      <c r="D22" s="14" t="s">
        <v>300</v>
      </c>
      <c r="E22" s="14" t="s">
        <v>329</v>
      </c>
      <c r="F22" s="14" t="s">
        <v>295</v>
      </c>
      <c r="G22" s="14"/>
      <c r="H22" s="14"/>
      <c r="I22" s="14"/>
      <c r="J22" s="14"/>
      <c r="K22" s="14"/>
      <c r="L22" s="14"/>
      <c r="M22" s="19"/>
    </row>
    <row r="23" spans="1:13" ht="22.8">
      <c r="A23" s="30" t="s">
        <v>205</v>
      </c>
      <c r="B23" s="14" t="s">
        <v>206</v>
      </c>
      <c r="C23" s="14" t="s">
        <v>207</v>
      </c>
      <c r="D23" s="14" t="s">
        <v>300</v>
      </c>
      <c r="E23" s="14" t="s">
        <v>208</v>
      </c>
      <c r="F23" s="14" t="s">
        <v>301</v>
      </c>
      <c r="G23" s="14" t="s">
        <v>330</v>
      </c>
      <c r="H23" s="14"/>
      <c r="I23" s="14" t="s">
        <v>331</v>
      </c>
      <c r="J23" s="14" t="s">
        <v>332</v>
      </c>
      <c r="K23" s="14"/>
      <c r="L23" s="14" t="s">
        <v>333</v>
      </c>
      <c r="M23" s="19" t="s">
        <v>210</v>
      </c>
    </row>
    <row r="24" spans="1:13">
      <c r="A24" s="30" t="s">
        <v>205</v>
      </c>
      <c r="B24" s="14" t="s">
        <v>191</v>
      </c>
      <c r="C24" s="14" t="s">
        <v>334</v>
      </c>
      <c r="D24" s="14" t="s">
        <v>293</v>
      </c>
      <c r="E24" s="14" t="s">
        <v>297</v>
      </c>
      <c r="F24" s="14" t="s">
        <v>295</v>
      </c>
      <c r="G24" s="14"/>
      <c r="H24" s="14"/>
      <c r="I24" s="14"/>
      <c r="J24" s="14"/>
      <c r="K24" s="14"/>
      <c r="L24" s="14"/>
      <c r="M24" s="19"/>
    </row>
    <row r="25" spans="1:13">
      <c r="A25" s="30" t="s">
        <v>205</v>
      </c>
      <c r="B25" s="14" t="s">
        <v>191</v>
      </c>
      <c r="C25" s="14" t="s">
        <v>229</v>
      </c>
      <c r="D25" s="14" t="s">
        <v>300</v>
      </c>
      <c r="E25" s="14" t="s">
        <v>230</v>
      </c>
      <c r="F25" s="14" t="s">
        <v>301</v>
      </c>
      <c r="G25" s="14" t="s">
        <v>335</v>
      </c>
      <c r="H25" s="14"/>
      <c r="I25" s="14" t="s">
        <v>336</v>
      </c>
      <c r="J25" s="14" t="s">
        <v>337</v>
      </c>
      <c r="K25" s="14"/>
      <c r="L25" s="14" t="s">
        <v>98</v>
      </c>
      <c r="M25" s="19" t="s">
        <v>194</v>
      </c>
    </row>
    <row r="26" spans="1:13" ht="22.8">
      <c r="A26" s="30" t="s">
        <v>205</v>
      </c>
      <c r="B26" s="14" t="s">
        <v>154</v>
      </c>
      <c r="C26" s="14" t="s">
        <v>227</v>
      </c>
      <c r="D26" s="14" t="s">
        <v>300</v>
      </c>
      <c r="E26" s="14" t="s">
        <v>228</v>
      </c>
      <c r="F26" s="14" t="s">
        <v>301</v>
      </c>
      <c r="G26" s="14" t="s">
        <v>338</v>
      </c>
      <c r="H26" s="14"/>
      <c r="I26" s="14" t="s">
        <v>339</v>
      </c>
      <c r="J26" s="14" t="s">
        <v>340</v>
      </c>
      <c r="K26" s="14"/>
      <c r="L26" s="14" t="s">
        <v>98</v>
      </c>
      <c r="M26" s="19" t="s">
        <v>157</v>
      </c>
    </row>
    <row r="27" spans="1:13">
      <c r="A27" s="30" t="s">
        <v>205</v>
      </c>
      <c r="B27" s="14" t="s">
        <v>182</v>
      </c>
      <c r="C27" s="14" t="s">
        <v>341</v>
      </c>
      <c r="D27" s="14" t="s">
        <v>300</v>
      </c>
      <c r="E27" s="14" t="s">
        <v>320</v>
      </c>
      <c r="F27" s="14" t="s">
        <v>295</v>
      </c>
      <c r="G27" s="14"/>
      <c r="H27" s="14"/>
      <c r="I27" s="14"/>
      <c r="J27" s="14"/>
      <c r="K27" s="14"/>
      <c r="L27" s="14"/>
      <c r="M27" s="19"/>
    </row>
    <row r="28" spans="1:13">
      <c r="A28" s="30" t="s">
        <v>205</v>
      </c>
      <c r="B28" s="14" t="s">
        <v>200</v>
      </c>
      <c r="C28" s="14" t="s">
        <v>342</v>
      </c>
      <c r="D28" s="14" t="s">
        <v>293</v>
      </c>
      <c r="E28" s="14" t="s">
        <v>343</v>
      </c>
      <c r="F28" s="14" t="s">
        <v>295</v>
      </c>
      <c r="G28" s="14"/>
      <c r="H28" s="14"/>
      <c r="I28" s="14"/>
      <c r="J28" s="14"/>
      <c r="K28" s="14"/>
      <c r="L28" s="14"/>
      <c r="M28" s="19"/>
    </row>
    <row r="29" spans="1:13">
      <c r="A29" s="30" t="s">
        <v>344</v>
      </c>
      <c r="B29" s="14" t="s">
        <v>345</v>
      </c>
      <c r="C29" s="14" t="s">
        <v>346</v>
      </c>
      <c r="D29" s="14" t="s">
        <v>293</v>
      </c>
      <c r="E29" s="14" t="s">
        <v>294</v>
      </c>
      <c r="F29" s="14" t="s">
        <v>295</v>
      </c>
      <c r="G29" s="14"/>
      <c r="H29" s="14"/>
      <c r="I29" s="14"/>
      <c r="J29" s="14"/>
      <c r="K29" s="14"/>
      <c r="L29" s="14"/>
      <c r="M29" s="19"/>
    </row>
    <row r="30" spans="1:13">
      <c r="A30" s="30" t="s">
        <v>344</v>
      </c>
      <c r="B30" s="14" t="s">
        <v>347</v>
      </c>
      <c r="C30" s="14" t="s">
        <v>348</v>
      </c>
      <c r="D30" s="14" t="s">
        <v>293</v>
      </c>
      <c r="E30" s="14" t="s">
        <v>349</v>
      </c>
      <c r="F30" s="14" t="s">
        <v>295</v>
      </c>
      <c r="G30" s="14"/>
      <c r="H30" s="14"/>
      <c r="I30" s="14"/>
      <c r="J30" s="14"/>
      <c r="K30" s="14"/>
      <c r="L30" s="14"/>
      <c r="M30" s="19"/>
    </row>
    <row r="31" spans="1:13">
      <c r="A31" s="30" t="s">
        <v>344</v>
      </c>
      <c r="B31" s="14" t="s">
        <v>347</v>
      </c>
      <c r="C31" s="14" t="s">
        <v>348</v>
      </c>
      <c r="D31" s="14" t="s">
        <v>300</v>
      </c>
      <c r="E31" s="14" t="s">
        <v>350</v>
      </c>
      <c r="F31" s="14" t="s">
        <v>295</v>
      </c>
      <c r="G31" s="14"/>
      <c r="H31" s="14"/>
      <c r="I31" s="14"/>
      <c r="J31" s="14"/>
      <c r="K31" s="14"/>
      <c r="L31" s="14"/>
      <c r="M31" s="19"/>
    </row>
    <row r="32" spans="1:13">
      <c r="A32" s="30" t="s">
        <v>344</v>
      </c>
      <c r="B32" s="14" t="s">
        <v>351</v>
      </c>
      <c r="C32" s="14" t="s">
        <v>352</v>
      </c>
      <c r="D32" s="14" t="s">
        <v>293</v>
      </c>
      <c r="E32" s="14" t="s">
        <v>353</v>
      </c>
      <c r="F32" s="14" t="s">
        <v>295</v>
      </c>
      <c r="G32" s="14"/>
      <c r="H32" s="14"/>
      <c r="I32" s="14"/>
      <c r="J32" s="14"/>
      <c r="K32" s="14"/>
      <c r="L32" s="14"/>
      <c r="M32" s="19"/>
    </row>
    <row r="33" spans="1:13" ht="22.8">
      <c r="A33" s="30" t="s">
        <v>94</v>
      </c>
      <c r="B33" s="14" t="s">
        <v>95</v>
      </c>
      <c r="C33" s="14" t="s">
        <v>96</v>
      </c>
      <c r="D33" s="14" t="s">
        <v>293</v>
      </c>
      <c r="E33" s="14" t="s">
        <v>97</v>
      </c>
      <c r="F33" s="14" t="s">
        <v>301</v>
      </c>
      <c r="G33" s="14" t="s">
        <v>354</v>
      </c>
      <c r="H33" s="14"/>
      <c r="I33" s="14" t="s">
        <v>355</v>
      </c>
      <c r="J33" s="14" t="s">
        <v>356</v>
      </c>
      <c r="K33" s="14"/>
      <c r="L33" s="14" t="s">
        <v>98</v>
      </c>
      <c r="M33" s="19" t="s">
        <v>99</v>
      </c>
    </row>
    <row r="34" spans="1:13">
      <c r="A34" s="30" t="s">
        <v>94</v>
      </c>
      <c r="B34" s="14" t="s">
        <v>318</v>
      </c>
      <c r="C34" s="14" t="s">
        <v>96</v>
      </c>
      <c r="D34" s="14" t="s">
        <v>300</v>
      </c>
      <c r="E34" s="14" t="s">
        <v>320</v>
      </c>
      <c r="F34" s="14" t="s">
        <v>295</v>
      </c>
      <c r="G34" s="14"/>
      <c r="H34" s="14"/>
      <c r="I34" s="14"/>
      <c r="J34" s="14"/>
      <c r="K34" s="14"/>
      <c r="L34" s="14"/>
      <c r="M34" s="19"/>
    </row>
    <row r="35" spans="1:13">
      <c r="A35" s="30" t="s">
        <v>231</v>
      </c>
      <c r="B35" s="14" t="s">
        <v>200</v>
      </c>
      <c r="C35" s="14" t="s">
        <v>232</v>
      </c>
      <c r="D35" s="14" t="s">
        <v>300</v>
      </c>
      <c r="E35" s="14" t="s">
        <v>233</v>
      </c>
      <c r="F35" s="14" t="s">
        <v>301</v>
      </c>
      <c r="G35" s="14" t="s">
        <v>357</v>
      </c>
      <c r="H35" s="14"/>
      <c r="I35" s="14" t="s">
        <v>358</v>
      </c>
      <c r="J35" s="14" t="s">
        <v>359</v>
      </c>
      <c r="K35" s="14"/>
      <c r="L35" s="14" t="s">
        <v>98</v>
      </c>
      <c r="M35" s="19" t="s">
        <v>203</v>
      </c>
    </row>
    <row r="36" spans="1:13">
      <c r="A36" s="30" t="s">
        <v>231</v>
      </c>
      <c r="B36" s="14" t="s">
        <v>360</v>
      </c>
      <c r="C36" s="14" t="s">
        <v>324</v>
      </c>
      <c r="D36" s="14" t="s">
        <v>293</v>
      </c>
      <c r="E36" s="14" t="s">
        <v>299</v>
      </c>
      <c r="F36" s="14" t="s">
        <v>295</v>
      </c>
      <c r="G36" s="14"/>
      <c r="H36" s="14"/>
      <c r="I36" s="14"/>
      <c r="J36" s="14"/>
      <c r="K36" s="14"/>
      <c r="L36" s="14"/>
      <c r="M36" s="19"/>
    </row>
    <row r="37" spans="1:13">
      <c r="A37" s="30" t="s">
        <v>231</v>
      </c>
      <c r="B37" s="14" t="s">
        <v>223</v>
      </c>
      <c r="C37" s="14" t="s">
        <v>243</v>
      </c>
      <c r="D37" s="14" t="s">
        <v>293</v>
      </c>
      <c r="E37" s="14" t="s">
        <v>297</v>
      </c>
      <c r="F37" s="14" t="s">
        <v>295</v>
      </c>
      <c r="G37" s="14"/>
      <c r="H37" s="14"/>
      <c r="I37" s="14"/>
      <c r="J37" s="14"/>
      <c r="K37" s="14"/>
      <c r="L37" s="14"/>
      <c r="M37" s="19"/>
    </row>
    <row r="38" spans="1:13">
      <c r="A38" s="30" t="s">
        <v>231</v>
      </c>
      <c r="B38" s="14" t="s">
        <v>361</v>
      </c>
      <c r="C38" s="14" t="s">
        <v>324</v>
      </c>
      <c r="D38" s="14" t="s">
        <v>300</v>
      </c>
      <c r="E38" s="14" t="s">
        <v>320</v>
      </c>
      <c r="F38" s="14" t="s">
        <v>295</v>
      </c>
      <c r="G38" s="14"/>
      <c r="H38" s="14"/>
      <c r="I38" s="14"/>
      <c r="J38" s="14"/>
      <c r="K38" s="14"/>
      <c r="L38" s="14"/>
      <c r="M38" s="19"/>
    </row>
    <row r="39" spans="1:13">
      <c r="A39" s="30" t="s">
        <v>231</v>
      </c>
      <c r="B39" s="14" t="s">
        <v>362</v>
      </c>
      <c r="C39" s="14" t="s">
        <v>324</v>
      </c>
      <c r="D39" s="14" t="s">
        <v>293</v>
      </c>
      <c r="E39" s="14" t="s">
        <v>363</v>
      </c>
      <c r="F39" s="14" t="s">
        <v>295</v>
      </c>
      <c r="G39" s="14"/>
      <c r="H39" s="14"/>
      <c r="I39" s="14"/>
      <c r="J39" s="14"/>
      <c r="K39" s="14"/>
      <c r="L39" s="14"/>
      <c r="M39" s="19"/>
    </row>
    <row r="40" spans="1:13">
      <c r="A40" s="30" t="s">
        <v>231</v>
      </c>
      <c r="B40" s="14" t="s">
        <v>364</v>
      </c>
      <c r="C40" s="14" t="s">
        <v>324</v>
      </c>
      <c r="D40" s="14" t="s">
        <v>300</v>
      </c>
      <c r="E40" s="14" t="s">
        <v>365</v>
      </c>
      <c r="F40" s="14" t="s">
        <v>295</v>
      </c>
      <c r="G40" s="14"/>
      <c r="H40" s="14"/>
      <c r="I40" s="14"/>
      <c r="J40" s="14"/>
      <c r="K40" s="14"/>
      <c r="L40" s="14"/>
      <c r="M40" s="19"/>
    </row>
    <row r="41" spans="1:13">
      <c r="A41" s="30" t="s">
        <v>366</v>
      </c>
      <c r="B41" s="14" t="s">
        <v>367</v>
      </c>
      <c r="C41" s="14" t="s">
        <v>368</v>
      </c>
      <c r="D41" s="14" t="s">
        <v>293</v>
      </c>
      <c r="E41" s="14" t="s">
        <v>369</v>
      </c>
      <c r="F41" s="14" t="s">
        <v>295</v>
      </c>
      <c r="G41" s="14"/>
      <c r="H41" s="14"/>
      <c r="I41" s="14"/>
      <c r="J41" s="14"/>
      <c r="K41" s="14"/>
      <c r="L41" s="14"/>
      <c r="M41" s="19"/>
    </row>
    <row r="42" spans="1:13">
      <c r="A42" s="30" t="s">
        <v>366</v>
      </c>
      <c r="B42" s="14" t="s">
        <v>367</v>
      </c>
      <c r="C42" s="14" t="s">
        <v>368</v>
      </c>
      <c r="D42" s="14" t="s">
        <v>293</v>
      </c>
      <c r="E42" s="14" t="s">
        <v>370</v>
      </c>
      <c r="F42" s="14" t="s">
        <v>295</v>
      </c>
      <c r="G42" s="14"/>
      <c r="H42" s="14"/>
      <c r="I42" s="14"/>
      <c r="J42" s="14"/>
      <c r="K42" s="14"/>
      <c r="L42" s="14"/>
      <c r="M42" s="19"/>
    </row>
    <row r="43" spans="1:13">
      <c r="A43" s="30" t="s">
        <v>366</v>
      </c>
      <c r="B43" s="14" t="s">
        <v>160</v>
      </c>
      <c r="C43" s="14" t="s">
        <v>371</v>
      </c>
      <c r="D43" s="14" t="s">
        <v>372</v>
      </c>
      <c r="E43" s="14" t="s">
        <v>373</v>
      </c>
      <c r="F43" s="14" t="s">
        <v>295</v>
      </c>
      <c r="G43" s="14"/>
      <c r="H43" s="14"/>
      <c r="I43" s="14"/>
      <c r="J43" s="14"/>
      <c r="K43" s="14"/>
      <c r="L43" s="14"/>
      <c r="M43" s="19"/>
    </row>
    <row r="44" spans="1:13">
      <c r="A44" s="30" t="s">
        <v>86</v>
      </c>
      <c r="B44" s="14" t="s">
        <v>149</v>
      </c>
      <c r="C44" s="14" t="s">
        <v>150</v>
      </c>
      <c r="D44" s="14" t="s">
        <v>374</v>
      </c>
      <c r="E44" s="14" t="s">
        <v>151</v>
      </c>
      <c r="F44" s="14" t="s">
        <v>295</v>
      </c>
      <c r="G44" s="14"/>
      <c r="H44" s="14" t="s">
        <v>375</v>
      </c>
      <c r="I44" s="14"/>
      <c r="J44" s="14"/>
      <c r="K44" s="14" t="s">
        <v>376</v>
      </c>
      <c r="L44" s="14" t="s">
        <v>90</v>
      </c>
      <c r="M44" s="19" t="s">
        <v>152</v>
      </c>
    </row>
    <row r="45" spans="1:13">
      <c r="A45" s="30" t="s">
        <v>86</v>
      </c>
      <c r="B45" s="14" t="s">
        <v>186</v>
      </c>
      <c r="C45" s="14" t="s">
        <v>187</v>
      </c>
      <c r="D45" s="14" t="s">
        <v>374</v>
      </c>
      <c r="E45" s="14" t="s">
        <v>188</v>
      </c>
      <c r="F45" s="14" t="s">
        <v>295</v>
      </c>
      <c r="G45" s="14"/>
      <c r="H45" s="14" t="s">
        <v>377</v>
      </c>
      <c r="I45" s="14"/>
      <c r="J45" s="14"/>
      <c r="K45" s="14" t="s">
        <v>378</v>
      </c>
      <c r="L45" s="14" t="s">
        <v>98</v>
      </c>
      <c r="M45" s="19" t="s">
        <v>189</v>
      </c>
    </row>
    <row r="46" spans="1:13">
      <c r="A46" s="30" t="s">
        <v>86</v>
      </c>
      <c r="B46" s="14" t="s">
        <v>178</v>
      </c>
      <c r="C46" s="14" t="s">
        <v>179</v>
      </c>
      <c r="D46" s="14" t="s">
        <v>374</v>
      </c>
      <c r="E46" s="14" t="s">
        <v>180</v>
      </c>
      <c r="F46" s="14" t="s">
        <v>295</v>
      </c>
      <c r="G46" s="14"/>
      <c r="H46" s="14" t="s">
        <v>379</v>
      </c>
      <c r="I46" s="14"/>
      <c r="J46" s="14"/>
      <c r="K46" s="14" t="s">
        <v>380</v>
      </c>
      <c r="L46" s="14" t="s">
        <v>90</v>
      </c>
      <c r="M46" s="19" t="s">
        <v>181</v>
      </c>
    </row>
    <row r="47" spans="1:13">
      <c r="A47" s="30" t="s">
        <v>86</v>
      </c>
      <c r="B47" s="14" t="s">
        <v>170</v>
      </c>
      <c r="C47" s="14" t="s">
        <v>171</v>
      </c>
      <c r="D47" s="14" t="s">
        <v>374</v>
      </c>
      <c r="E47" s="14" t="s">
        <v>172</v>
      </c>
      <c r="F47" s="14" t="s">
        <v>295</v>
      </c>
      <c r="G47" s="14"/>
      <c r="H47" s="14" t="s">
        <v>381</v>
      </c>
      <c r="I47" s="14"/>
      <c r="J47" s="14"/>
      <c r="K47" s="14" t="s">
        <v>382</v>
      </c>
      <c r="L47" s="14" t="s">
        <v>90</v>
      </c>
      <c r="M47" s="19" t="s">
        <v>173</v>
      </c>
    </row>
    <row r="48" spans="1:13">
      <c r="A48" s="30" t="s">
        <v>86</v>
      </c>
      <c r="B48" s="14" t="s">
        <v>87</v>
      </c>
      <c r="C48" s="14" t="s">
        <v>88</v>
      </c>
      <c r="D48" s="14" t="s">
        <v>374</v>
      </c>
      <c r="E48" s="14" t="s">
        <v>89</v>
      </c>
      <c r="F48" s="14" t="s">
        <v>295</v>
      </c>
      <c r="G48" s="14"/>
      <c r="H48" s="14" t="s">
        <v>383</v>
      </c>
      <c r="I48" s="14"/>
      <c r="J48" s="14"/>
      <c r="K48" s="14" t="s">
        <v>384</v>
      </c>
      <c r="L48" s="14" t="s">
        <v>90</v>
      </c>
      <c r="M48" s="19" t="s">
        <v>91</v>
      </c>
    </row>
    <row r="49" spans="1:13">
      <c r="A49" s="30" t="s">
        <v>143</v>
      </c>
      <c r="B49" s="14" t="s">
        <v>144</v>
      </c>
      <c r="C49" s="14" t="s">
        <v>385</v>
      </c>
      <c r="D49" s="14" t="s">
        <v>293</v>
      </c>
      <c r="E49" s="14" t="s">
        <v>386</v>
      </c>
      <c r="F49" s="14" t="s">
        <v>295</v>
      </c>
      <c r="G49" s="14"/>
      <c r="H49" s="14"/>
      <c r="I49" s="14"/>
      <c r="J49" s="14"/>
      <c r="K49" s="14"/>
      <c r="L49" s="14"/>
      <c r="M49" s="19"/>
    </row>
    <row r="50" spans="1:13">
      <c r="A50" s="30" t="s">
        <v>143</v>
      </c>
      <c r="B50" s="14" t="s">
        <v>306</v>
      </c>
      <c r="C50" s="14" t="s">
        <v>387</v>
      </c>
      <c r="D50" s="14" t="s">
        <v>293</v>
      </c>
      <c r="E50" s="14" t="s">
        <v>294</v>
      </c>
      <c r="F50" s="14" t="s">
        <v>295</v>
      </c>
      <c r="G50" s="14"/>
      <c r="H50" s="14"/>
      <c r="I50" s="14"/>
      <c r="J50" s="14"/>
      <c r="K50" s="14"/>
      <c r="L50" s="14"/>
      <c r="M50" s="19"/>
    </row>
    <row r="51" spans="1:13" ht="22.8">
      <c r="A51" s="30" t="s">
        <v>143</v>
      </c>
      <c r="B51" s="14" t="s">
        <v>174</v>
      </c>
      <c r="C51" s="14" t="s">
        <v>175</v>
      </c>
      <c r="D51" s="14" t="s">
        <v>293</v>
      </c>
      <c r="E51" s="14" t="s">
        <v>176</v>
      </c>
      <c r="F51" s="14" t="s">
        <v>295</v>
      </c>
      <c r="G51" s="14" t="s">
        <v>388</v>
      </c>
      <c r="H51" s="14"/>
      <c r="I51" s="14"/>
      <c r="J51" s="14" t="s">
        <v>389</v>
      </c>
      <c r="K51" s="14"/>
      <c r="L51" s="14" t="s">
        <v>98</v>
      </c>
      <c r="M51" s="19" t="s">
        <v>177</v>
      </c>
    </row>
    <row r="52" spans="1:13">
      <c r="A52" s="30" t="s">
        <v>143</v>
      </c>
      <c r="B52" s="14" t="s">
        <v>144</v>
      </c>
      <c r="C52" s="14" t="s">
        <v>145</v>
      </c>
      <c r="D52" s="14" t="s">
        <v>293</v>
      </c>
      <c r="E52" s="14" t="s">
        <v>146</v>
      </c>
      <c r="F52" s="14" t="s">
        <v>295</v>
      </c>
      <c r="G52" s="14"/>
      <c r="H52" s="14" t="s">
        <v>375</v>
      </c>
      <c r="I52" s="14"/>
      <c r="J52" s="14" t="s">
        <v>376</v>
      </c>
      <c r="K52" s="14"/>
      <c r="L52" s="14" t="s">
        <v>90</v>
      </c>
      <c r="M52" s="19" t="s">
        <v>148</v>
      </c>
    </row>
    <row r="53" spans="1:13">
      <c r="A53" s="30" t="s">
        <v>143</v>
      </c>
      <c r="B53" s="14" t="s">
        <v>390</v>
      </c>
      <c r="C53" s="14" t="s">
        <v>175</v>
      </c>
      <c r="D53" s="14" t="s">
        <v>300</v>
      </c>
      <c r="E53" s="14" t="s">
        <v>391</v>
      </c>
      <c r="F53" s="14" t="s">
        <v>295</v>
      </c>
      <c r="G53" s="14"/>
      <c r="H53" s="14"/>
      <c r="I53" s="14"/>
      <c r="J53" s="14"/>
      <c r="K53" s="14"/>
      <c r="L53" s="14"/>
      <c r="M53" s="19"/>
    </row>
    <row r="54" spans="1:13">
      <c r="A54" s="30" t="s">
        <v>392</v>
      </c>
      <c r="B54" s="14" t="s">
        <v>393</v>
      </c>
      <c r="C54" s="14" t="s">
        <v>394</v>
      </c>
      <c r="D54" s="14" t="s">
        <v>300</v>
      </c>
      <c r="E54" s="14" t="s">
        <v>395</v>
      </c>
      <c r="F54" s="14" t="s">
        <v>295</v>
      </c>
      <c r="G54" s="14"/>
      <c r="H54" s="14"/>
      <c r="I54" s="14"/>
      <c r="J54" s="14"/>
      <c r="K54" s="14"/>
      <c r="L54" s="14"/>
      <c r="M54" s="19"/>
    </row>
    <row r="55" spans="1:13">
      <c r="A55" s="30" t="s">
        <v>392</v>
      </c>
      <c r="B55" s="14" t="s">
        <v>291</v>
      </c>
      <c r="C55" s="14" t="s">
        <v>396</v>
      </c>
      <c r="D55" s="14" t="s">
        <v>300</v>
      </c>
      <c r="E55" s="14" t="s">
        <v>329</v>
      </c>
      <c r="F55" s="14" t="s">
        <v>295</v>
      </c>
      <c r="G55" s="14"/>
      <c r="H55" s="14"/>
      <c r="I55" s="14"/>
      <c r="J55" s="14"/>
      <c r="K55" s="14"/>
      <c r="L55" s="14"/>
      <c r="M55" s="19"/>
    </row>
    <row r="56" spans="1:13">
      <c r="A56" s="30" t="s">
        <v>392</v>
      </c>
      <c r="B56" s="14" t="s">
        <v>139</v>
      </c>
      <c r="C56" s="14" t="s">
        <v>397</v>
      </c>
      <c r="D56" s="14" t="s">
        <v>293</v>
      </c>
      <c r="E56" s="14" t="s">
        <v>299</v>
      </c>
      <c r="F56" s="14" t="s">
        <v>295</v>
      </c>
      <c r="G56" s="14"/>
      <c r="H56" s="14"/>
      <c r="I56" s="14"/>
      <c r="J56" s="14"/>
      <c r="K56" s="14"/>
      <c r="L56" s="14"/>
      <c r="M56" s="19"/>
    </row>
    <row r="57" spans="1:13">
      <c r="A57" s="30" t="s">
        <v>392</v>
      </c>
      <c r="B57" s="14" t="s">
        <v>398</v>
      </c>
      <c r="C57" s="14" t="s">
        <v>399</v>
      </c>
      <c r="D57" s="14" t="s">
        <v>300</v>
      </c>
      <c r="E57" s="14" t="s">
        <v>400</v>
      </c>
      <c r="F57" s="14" t="s">
        <v>295</v>
      </c>
      <c r="G57" s="14"/>
      <c r="H57" s="14"/>
      <c r="I57" s="14"/>
      <c r="J57" s="14"/>
      <c r="K57" s="14"/>
      <c r="L57" s="14"/>
      <c r="M57" s="19"/>
    </row>
    <row r="58" spans="1:13">
      <c r="A58" s="30" t="s">
        <v>392</v>
      </c>
      <c r="B58" s="14" t="s">
        <v>182</v>
      </c>
      <c r="C58" s="14" t="s">
        <v>399</v>
      </c>
      <c r="D58" s="14" t="s">
        <v>300</v>
      </c>
      <c r="E58" s="14" t="s">
        <v>320</v>
      </c>
      <c r="F58" s="14" t="s">
        <v>295</v>
      </c>
      <c r="G58" s="14"/>
      <c r="H58" s="14"/>
      <c r="I58" s="14"/>
      <c r="J58" s="14"/>
      <c r="K58" s="14"/>
      <c r="L58" s="14"/>
      <c r="M58" s="19"/>
    </row>
    <row r="59" spans="1:13">
      <c r="A59" s="30" t="s">
        <v>392</v>
      </c>
      <c r="B59" s="14" t="s">
        <v>401</v>
      </c>
      <c r="C59" s="14" t="s">
        <v>394</v>
      </c>
      <c r="D59" s="14" t="s">
        <v>300</v>
      </c>
      <c r="E59" s="14" t="s">
        <v>395</v>
      </c>
      <c r="F59" s="14" t="s">
        <v>295</v>
      </c>
      <c r="G59" s="14"/>
      <c r="H59" s="14"/>
      <c r="I59" s="14"/>
      <c r="J59" s="14"/>
      <c r="K59" s="14"/>
      <c r="L59" s="14"/>
      <c r="M59" s="19"/>
    </row>
    <row r="60" spans="1:13">
      <c r="A60" s="30" t="s">
        <v>235</v>
      </c>
      <c r="B60" s="14" t="s">
        <v>191</v>
      </c>
      <c r="C60" s="14" t="s">
        <v>240</v>
      </c>
      <c r="D60" s="14" t="s">
        <v>300</v>
      </c>
      <c r="E60" s="14" t="s">
        <v>230</v>
      </c>
      <c r="F60" s="14" t="s">
        <v>301</v>
      </c>
      <c r="G60" s="14" t="s">
        <v>330</v>
      </c>
      <c r="H60" s="14"/>
      <c r="I60" s="14" t="s">
        <v>336</v>
      </c>
      <c r="J60" s="14" t="s">
        <v>332</v>
      </c>
      <c r="K60" s="14"/>
      <c r="L60" s="14" t="s">
        <v>98</v>
      </c>
      <c r="M60" s="19" t="s">
        <v>194</v>
      </c>
    </row>
    <row r="61" spans="1:13">
      <c r="A61" s="30" t="s">
        <v>235</v>
      </c>
      <c r="B61" s="14" t="s">
        <v>360</v>
      </c>
      <c r="C61" s="14" t="s">
        <v>402</v>
      </c>
      <c r="D61" s="14" t="s">
        <v>293</v>
      </c>
      <c r="E61" s="14" t="s">
        <v>297</v>
      </c>
      <c r="F61" s="14" t="s">
        <v>295</v>
      </c>
      <c r="G61" s="14"/>
      <c r="H61" s="14"/>
      <c r="I61" s="14"/>
      <c r="J61" s="14"/>
      <c r="K61" s="14"/>
      <c r="L61" s="14"/>
      <c r="M61" s="19"/>
    </row>
    <row r="62" spans="1:13">
      <c r="A62" s="30" t="s">
        <v>235</v>
      </c>
      <c r="B62" s="14" t="s">
        <v>254</v>
      </c>
      <c r="C62" s="14" t="s">
        <v>255</v>
      </c>
      <c r="D62" s="14" t="s">
        <v>300</v>
      </c>
      <c r="E62" s="14" t="s">
        <v>256</v>
      </c>
      <c r="F62" s="14" t="s">
        <v>301</v>
      </c>
      <c r="G62" s="14" t="s">
        <v>403</v>
      </c>
      <c r="H62" s="14"/>
      <c r="I62" s="14" t="s">
        <v>404</v>
      </c>
      <c r="J62" s="14" t="s">
        <v>405</v>
      </c>
      <c r="K62" s="14"/>
      <c r="L62" s="14" t="s">
        <v>98</v>
      </c>
      <c r="M62" s="19" t="s">
        <v>257</v>
      </c>
    </row>
    <row r="63" spans="1:13">
      <c r="A63" s="30" t="s">
        <v>235</v>
      </c>
      <c r="B63" s="14" t="s">
        <v>182</v>
      </c>
      <c r="C63" s="14" t="s">
        <v>406</v>
      </c>
      <c r="D63" s="14" t="s">
        <v>300</v>
      </c>
      <c r="E63" s="14" t="s">
        <v>320</v>
      </c>
      <c r="F63" s="14" t="s">
        <v>295</v>
      </c>
      <c r="G63" s="14"/>
      <c r="H63" s="14"/>
      <c r="I63" s="14"/>
      <c r="J63" s="14"/>
      <c r="K63" s="14"/>
      <c r="L63" s="14"/>
      <c r="M63" s="19"/>
    </row>
    <row r="64" spans="1:13">
      <c r="A64" s="30" t="s">
        <v>235</v>
      </c>
      <c r="B64" s="14" t="s">
        <v>236</v>
      </c>
      <c r="C64" s="14" t="s">
        <v>237</v>
      </c>
      <c r="D64" s="14" t="s">
        <v>300</v>
      </c>
      <c r="E64" s="14" t="s">
        <v>238</v>
      </c>
      <c r="F64" s="14" t="s">
        <v>301</v>
      </c>
      <c r="G64" s="14" t="s">
        <v>403</v>
      </c>
      <c r="H64" s="14"/>
      <c r="I64" s="14" t="s">
        <v>358</v>
      </c>
      <c r="J64" s="14" t="s">
        <v>405</v>
      </c>
      <c r="K64" s="14"/>
      <c r="L64" s="14" t="s">
        <v>98</v>
      </c>
      <c r="M64" s="19" t="s">
        <v>239</v>
      </c>
    </row>
    <row r="65" spans="1:13">
      <c r="A65" s="30" t="s">
        <v>235</v>
      </c>
      <c r="B65" s="14" t="s">
        <v>407</v>
      </c>
      <c r="C65" s="14" t="s">
        <v>408</v>
      </c>
      <c r="D65" s="14" t="s">
        <v>293</v>
      </c>
      <c r="E65" s="14" t="s">
        <v>299</v>
      </c>
      <c r="F65" s="14" t="s">
        <v>295</v>
      </c>
      <c r="G65" s="14"/>
      <c r="H65" s="14"/>
      <c r="I65" s="14"/>
      <c r="J65" s="14"/>
      <c r="K65" s="14"/>
      <c r="L65" s="14"/>
      <c r="M65" s="19"/>
    </row>
    <row r="66" spans="1:13" ht="22.8">
      <c r="A66" s="30" t="s">
        <v>107</v>
      </c>
      <c r="B66" s="14" t="s">
        <v>108</v>
      </c>
      <c r="C66" s="14" t="s">
        <v>109</v>
      </c>
      <c r="D66" s="14" t="s">
        <v>374</v>
      </c>
      <c r="E66" s="14" t="s">
        <v>110</v>
      </c>
      <c r="F66" s="14" t="s">
        <v>301</v>
      </c>
      <c r="G66" s="14"/>
      <c r="H66" s="14" t="s">
        <v>409</v>
      </c>
      <c r="I66" s="14" t="s">
        <v>410</v>
      </c>
      <c r="J66" s="14"/>
      <c r="K66" s="14" t="s">
        <v>411</v>
      </c>
      <c r="L66" s="14" t="s">
        <v>333</v>
      </c>
      <c r="M66" s="19" t="s">
        <v>113</v>
      </c>
    </row>
    <row r="67" spans="1:13">
      <c r="A67" s="30" t="s">
        <v>107</v>
      </c>
      <c r="B67" s="14" t="s">
        <v>114</v>
      </c>
      <c r="C67" s="14" t="s">
        <v>109</v>
      </c>
      <c r="D67" s="14" t="s">
        <v>374</v>
      </c>
      <c r="E67" s="14" t="s">
        <v>115</v>
      </c>
      <c r="F67" s="14" t="s">
        <v>295</v>
      </c>
      <c r="G67" s="14"/>
      <c r="H67" s="14" t="s">
        <v>412</v>
      </c>
      <c r="I67" s="14"/>
      <c r="J67" s="14"/>
      <c r="K67" s="14" t="s">
        <v>413</v>
      </c>
      <c r="L67" s="14" t="s">
        <v>98</v>
      </c>
      <c r="M67" s="19" t="s">
        <v>117</v>
      </c>
    </row>
    <row r="68" spans="1:13">
      <c r="A68" s="30" t="s">
        <v>107</v>
      </c>
      <c r="B68" s="14" t="s">
        <v>128</v>
      </c>
      <c r="C68" s="14" t="s">
        <v>133</v>
      </c>
      <c r="D68" s="14" t="s">
        <v>374</v>
      </c>
      <c r="E68" s="14" t="s">
        <v>134</v>
      </c>
      <c r="F68" s="14" t="s">
        <v>295</v>
      </c>
      <c r="G68" s="14"/>
      <c r="H68" s="14" t="s">
        <v>414</v>
      </c>
      <c r="I68" s="14"/>
      <c r="J68" s="14"/>
      <c r="K68" s="14" t="s">
        <v>415</v>
      </c>
      <c r="L68" s="14" t="s">
        <v>98</v>
      </c>
      <c r="M68" s="19" t="s">
        <v>132</v>
      </c>
    </row>
    <row r="69" spans="1:13" ht="22.8">
      <c r="A69" s="30" t="s">
        <v>107</v>
      </c>
      <c r="B69" s="14" t="s">
        <v>118</v>
      </c>
      <c r="C69" s="14" t="s">
        <v>119</v>
      </c>
      <c r="D69" s="14" t="s">
        <v>374</v>
      </c>
      <c r="E69" s="14" t="s">
        <v>120</v>
      </c>
      <c r="F69" s="14" t="s">
        <v>301</v>
      </c>
      <c r="G69" s="14"/>
      <c r="H69" s="14" t="s">
        <v>416</v>
      </c>
      <c r="I69" s="14" t="s">
        <v>417</v>
      </c>
      <c r="J69" s="14"/>
      <c r="K69" s="14" t="s">
        <v>418</v>
      </c>
      <c r="L69" s="14" t="s">
        <v>98</v>
      </c>
      <c r="M69" s="19" t="s">
        <v>121</v>
      </c>
    </row>
    <row r="70" spans="1:13" ht="22.8">
      <c r="A70" s="30" t="s">
        <v>107</v>
      </c>
      <c r="B70" s="14" t="s">
        <v>419</v>
      </c>
      <c r="C70" s="14" t="s">
        <v>109</v>
      </c>
      <c r="D70" s="14" t="s">
        <v>374</v>
      </c>
      <c r="E70" s="14" t="s">
        <v>420</v>
      </c>
      <c r="F70" s="14" t="s">
        <v>295</v>
      </c>
      <c r="G70" s="14"/>
      <c r="H70" s="14"/>
      <c r="I70" s="14"/>
      <c r="J70" s="14"/>
      <c r="K70" s="14"/>
      <c r="L70" s="14"/>
      <c r="M70" s="19"/>
    </row>
    <row r="71" spans="1:13">
      <c r="A71" s="30" t="s">
        <v>241</v>
      </c>
      <c r="B71" s="14" t="s">
        <v>191</v>
      </c>
      <c r="C71" s="14" t="s">
        <v>249</v>
      </c>
      <c r="D71" s="14" t="s">
        <v>300</v>
      </c>
      <c r="E71" s="14" t="s">
        <v>230</v>
      </c>
      <c r="F71" s="14" t="s">
        <v>301</v>
      </c>
      <c r="G71" s="14" t="s">
        <v>421</v>
      </c>
      <c r="H71" s="14"/>
      <c r="I71" s="14" t="s">
        <v>336</v>
      </c>
      <c r="J71" s="14" t="s">
        <v>422</v>
      </c>
      <c r="K71" s="14"/>
      <c r="L71" s="14" t="s">
        <v>98</v>
      </c>
      <c r="M71" s="19" t="s">
        <v>194</v>
      </c>
    </row>
    <row r="72" spans="1:13">
      <c r="A72" s="30" t="s">
        <v>241</v>
      </c>
      <c r="B72" s="14" t="s">
        <v>246</v>
      </c>
      <c r="C72" s="14" t="s">
        <v>207</v>
      </c>
      <c r="D72" s="14" t="s">
        <v>300</v>
      </c>
      <c r="E72" s="14" t="s">
        <v>247</v>
      </c>
      <c r="F72" s="14" t="s">
        <v>301</v>
      </c>
      <c r="G72" s="14" t="s">
        <v>302</v>
      </c>
      <c r="H72" s="14"/>
      <c r="I72" s="14" t="s">
        <v>423</v>
      </c>
      <c r="J72" s="14" t="s">
        <v>424</v>
      </c>
      <c r="K72" s="14"/>
      <c r="L72" s="14" t="s">
        <v>98</v>
      </c>
      <c r="M72" s="19" t="s">
        <v>248</v>
      </c>
    </row>
    <row r="73" spans="1:13">
      <c r="A73" s="30" t="s">
        <v>241</v>
      </c>
      <c r="B73" s="14" t="s">
        <v>242</v>
      </c>
      <c r="C73" s="14" t="s">
        <v>243</v>
      </c>
      <c r="D73" s="14" t="s">
        <v>300</v>
      </c>
      <c r="E73" s="14" t="s">
        <v>244</v>
      </c>
      <c r="F73" s="14" t="s">
        <v>301</v>
      </c>
      <c r="G73" s="14" t="s">
        <v>338</v>
      </c>
      <c r="H73" s="14"/>
      <c r="I73" s="14" t="s">
        <v>358</v>
      </c>
      <c r="J73" s="14" t="s">
        <v>340</v>
      </c>
      <c r="K73" s="14"/>
      <c r="L73" s="14" t="s">
        <v>98</v>
      </c>
      <c r="M73" s="19" t="s">
        <v>245</v>
      </c>
    </row>
    <row r="74" spans="1:13">
      <c r="A74" s="30" t="s">
        <v>241</v>
      </c>
      <c r="B74" s="14" t="s">
        <v>425</v>
      </c>
      <c r="C74" s="14" t="s">
        <v>426</v>
      </c>
      <c r="D74" s="14" t="s">
        <v>300</v>
      </c>
      <c r="E74" s="14" t="s">
        <v>427</v>
      </c>
      <c r="F74" s="14" t="s">
        <v>295</v>
      </c>
      <c r="G74" s="14"/>
      <c r="H74" s="14"/>
      <c r="I74" s="14"/>
      <c r="J74" s="14"/>
      <c r="K74" s="14"/>
      <c r="L74" s="14"/>
      <c r="M74" s="19"/>
    </row>
    <row r="75" spans="1:13">
      <c r="A75" s="30" t="s">
        <v>241</v>
      </c>
      <c r="B75" s="14" t="s">
        <v>265</v>
      </c>
      <c r="C75" s="14" t="s">
        <v>266</v>
      </c>
      <c r="D75" s="14" t="s">
        <v>300</v>
      </c>
      <c r="E75" s="14" t="s">
        <v>267</v>
      </c>
      <c r="F75" s="14" t="s">
        <v>301</v>
      </c>
      <c r="G75" s="14" t="s">
        <v>428</v>
      </c>
      <c r="H75" s="14"/>
      <c r="I75" s="14" t="s">
        <v>429</v>
      </c>
      <c r="J75" s="14" t="s">
        <v>430</v>
      </c>
      <c r="K75" s="14"/>
      <c r="L75" s="14" t="s">
        <v>98</v>
      </c>
      <c r="M75" s="19" t="s">
        <v>268</v>
      </c>
    </row>
    <row r="76" spans="1:13">
      <c r="A76" s="30" t="s">
        <v>241</v>
      </c>
      <c r="B76" s="14" t="s">
        <v>431</v>
      </c>
      <c r="C76" s="14" t="s">
        <v>432</v>
      </c>
      <c r="D76" s="14" t="s">
        <v>300</v>
      </c>
      <c r="E76" s="14" t="s">
        <v>433</v>
      </c>
      <c r="F76" s="14" t="s">
        <v>295</v>
      </c>
      <c r="G76" s="14"/>
      <c r="H76" s="14"/>
      <c r="I76" s="14"/>
      <c r="J76" s="14"/>
      <c r="K76" s="14"/>
      <c r="L76" s="14"/>
      <c r="M76" s="19"/>
    </row>
    <row r="77" spans="1:13" ht="22.8">
      <c r="A77" s="30" t="s">
        <v>100</v>
      </c>
      <c r="B77" s="14" t="s">
        <v>206</v>
      </c>
      <c r="C77" s="14" t="s">
        <v>211</v>
      </c>
      <c r="D77" s="14" t="s">
        <v>374</v>
      </c>
      <c r="E77" s="14" t="s">
        <v>212</v>
      </c>
      <c r="F77" s="14" t="s">
        <v>301</v>
      </c>
      <c r="G77" s="14"/>
      <c r="H77" s="14" t="s">
        <v>434</v>
      </c>
      <c r="I77" s="14" t="s">
        <v>331</v>
      </c>
      <c r="J77" s="14"/>
      <c r="K77" s="14" t="s">
        <v>435</v>
      </c>
      <c r="L77" s="14" t="s">
        <v>333</v>
      </c>
      <c r="M77" s="19" t="s">
        <v>210</v>
      </c>
    </row>
    <row r="78" spans="1:13">
      <c r="A78" s="30" t="s">
        <v>100</v>
      </c>
      <c r="B78" s="14" t="s">
        <v>200</v>
      </c>
      <c r="C78" s="14" t="s">
        <v>201</v>
      </c>
      <c r="D78" s="14" t="s">
        <v>374</v>
      </c>
      <c r="E78" s="14" t="s">
        <v>202</v>
      </c>
      <c r="F78" s="14" t="s">
        <v>295</v>
      </c>
      <c r="G78" s="14"/>
      <c r="H78" s="14" t="s">
        <v>436</v>
      </c>
      <c r="I78" s="14"/>
      <c r="J78" s="14"/>
      <c r="K78" s="14" t="s">
        <v>437</v>
      </c>
      <c r="L78" s="14" t="s">
        <v>90</v>
      </c>
      <c r="M78" s="19" t="s">
        <v>203</v>
      </c>
    </row>
    <row r="79" spans="1:13" ht="22.8">
      <c r="A79" s="30" t="s">
        <v>100</v>
      </c>
      <c r="B79" s="14" t="s">
        <v>139</v>
      </c>
      <c r="C79" s="14" t="s">
        <v>140</v>
      </c>
      <c r="D79" s="14" t="s">
        <v>374</v>
      </c>
      <c r="E79" s="14" t="s">
        <v>141</v>
      </c>
      <c r="F79" s="14" t="s">
        <v>295</v>
      </c>
      <c r="G79" s="14"/>
      <c r="H79" s="14" t="s">
        <v>438</v>
      </c>
      <c r="I79" s="14"/>
      <c r="J79" s="14"/>
      <c r="K79" s="14" t="s">
        <v>439</v>
      </c>
      <c r="L79" s="14" t="s">
        <v>98</v>
      </c>
      <c r="M79" s="19" t="s">
        <v>142</v>
      </c>
    </row>
    <row r="80" spans="1:13" ht="22.8">
      <c r="A80" s="30" t="s">
        <v>100</v>
      </c>
      <c r="B80" s="14" t="s">
        <v>154</v>
      </c>
      <c r="C80" s="14" t="s">
        <v>155</v>
      </c>
      <c r="D80" s="14" t="s">
        <v>374</v>
      </c>
      <c r="E80" s="14" t="s">
        <v>103</v>
      </c>
      <c r="F80" s="14" t="s">
        <v>301</v>
      </c>
      <c r="G80" s="14"/>
      <c r="H80" s="14" t="s">
        <v>440</v>
      </c>
      <c r="I80" s="14" t="s">
        <v>441</v>
      </c>
      <c r="J80" s="14"/>
      <c r="K80" s="14" t="s">
        <v>442</v>
      </c>
      <c r="L80" s="14" t="s">
        <v>98</v>
      </c>
      <c r="M80" s="19" t="s">
        <v>157</v>
      </c>
    </row>
    <row r="81" spans="1:13">
      <c r="A81" s="30" t="s">
        <v>100</v>
      </c>
      <c r="B81" s="14" t="s">
        <v>101</v>
      </c>
      <c r="C81" s="14" t="s">
        <v>102</v>
      </c>
      <c r="D81" s="14" t="s">
        <v>374</v>
      </c>
      <c r="E81" s="14" t="s">
        <v>103</v>
      </c>
      <c r="F81" s="14" t="s">
        <v>301</v>
      </c>
      <c r="G81" s="14"/>
      <c r="H81" s="14" t="s">
        <v>377</v>
      </c>
      <c r="I81" s="14" t="s">
        <v>443</v>
      </c>
      <c r="J81" s="14"/>
      <c r="K81" s="14" t="s">
        <v>444</v>
      </c>
      <c r="L81" s="14" t="s">
        <v>90</v>
      </c>
      <c r="M81" s="19" t="s">
        <v>105</v>
      </c>
    </row>
    <row r="82" spans="1:13">
      <c r="A82" s="30" t="s">
        <v>100</v>
      </c>
      <c r="B82" s="14" t="s">
        <v>401</v>
      </c>
      <c r="C82" s="14" t="s">
        <v>445</v>
      </c>
      <c r="D82" s="14" t="s">
        <v>293</v>
      </c>
      <c r="E82" s="14" t="s">
        <v>297</v>
      </c>
      <c r="F82" s="14" t="s">
        <v>295</v>
      </c>
      <c r="G82" s="14"/>
      <c r="H82" s="14"/>
      <c r="I82" s="14"/>
      <c r="J82" s="14"/>
      <c r="K82" s="14"/>
      <c r="L82" s="14"/>
      <c r="M82" s="19"/>
    </row>
    <row r="83" spans="1:13">
      <c r="A83" s="30" t="s">
        <v>258</v>
      </c>
      <c r="B83" s="14" t="s">
        <v>446</v>
      </c>
      <c r="C83" s="14" t="s">
        <v>447</v>
      </c>
      <c r="D83" s="14" t="s">
        <v>300</v>
      </c>
      <c r="E83" s="14" t="s">
        <v>448</v>
      </c>
      <c r="F83" s="14" t="s">
        <v>295</v>
      </c>
      <c r="G83" s="14"/>
      <c r="H83" s="14"/>
      <c r="I83" s="14"/>
      <c r="J83" s="14"/>
      <c r="K83" s="14"/>
      <c r="L83" s="14"/>
      <c r="M83" s="19"/>
    </row>
    <row r="84" spans="1:13">
      <c r="A84" s="30" t="s">
        <v>258</v>
      </c>
      <c r="B84" s="14" t="s">
        <v>425</v>
      </c>
      <c r="C84" s="14" t="s">
        <v>449</v>
      </c>
      <c r="D84" s="14" t="s">
        <v>300</v>
      </c>
      <c r="E84" s="14" t="s">
        <v>427</v>
      </c>
      <c r="F84" s="14" t="s">
        <v>295</v>
      </c>
      <c r="G84" s="14"/>
      <c r="H84" s="14"/>
      <c r="I84" s="14"/>
      <c r="J84" s="14"/>
      <c r="K84" s="14"/>
      <c r="L84" s="14"/>
      <c r="M84" s="19"/>
    </row>
    <row r="85" spans="1:13">
      <c r="A85" s="30" t="s">
        <v>258</v>
      </c>
      <c r="B85" s="14" t="s">
        <v>265</v>
      </c>
      <c r="C85" s="14" t="s">
        <v>450</v>
      </c>
      <c r="D85" s="14" t="s">
        <v>293</v>
      </c>
      <c r="E85" s="14" t="s">
        <v>451</v>
      </c>
      <c r="F85" s="14" t="s">
        <v>295</v>
      </c>
      <c r="G85" s="14"/>
      <c r="H85" s="14"/>
      <c r="I85" s="14"/>
      <c r="J85" s="14"/>
      <c r="K85" s="14"/>
      <c r="L85" s="14"/>
      <c r="M85" s="19"/>
    </row>
    <row r="86" spans="1:13">
      <c r="A86" s="30" t="s">
        <v>258</v>
      </c>
      <c r="B86" s="14" t="s">
        <v>431</v>
      </c>
      <c r="C86" s="14" t="s">
        <v>449</v>
      </c>
      <c r="D86" s="14" t="s">
        <v>300</v>
      </c>
      <c r="E86" s="14" t="s">
        <v>433</v>
      </c>
      <c r="F86" s="14" t="s">
        <v>295</v>
      </c>
      <c r="G86" s="14"/>
      <c r="H86" s="14"/>
      <c r="I86" s="14"/>
      <c r="J86" s="14"/>
      <c r="K86" s="14"/>
      <c r="L86" s="14"/>
      <c r="M86" s="19"/>
    </row>
    <row r="87" spans="1:13">
      <c r="A87" s="30" t="s">
        <v>258</v>
      </c>
      <c r="B87" s="14" t="s">
        <v>259</v>
      </c>
      <c r="C87" s="14" t="s">
        <v>260</v>
      </c>
      <c r="D87" s="14" t="s">
        <v>293</v>
      </c>
      <c r="E87" s="14" t="s">
        <v>451</v>
      </c>
      <c r="F87" s="14" t="s">
        <v>295</v>
      </c>
      <c r="G87" s="14"/>
      <c r="H87" s="14"/>
      <c r="I87" s="14"/>
      <c r="J87" s="14"/>
      <c r="K87" s="14"/>
      <c r="L87" s="14"/>
      <c r="M87" s="19"/>
    </row>
    <row r="88" spans="1:13">
      <c r="A88" s="30" t="s">
        <v>258</v>
      </c>
      <c r="B88" s="14" t="s">
        <v>259</v>
      </c>
      <c r="C88" s="14" t="s">
        <v>260</v>
      </c>
      <c r="D88" s="14" t="s">
        <v>300</v>
      </c>
      <c r="E88" s="14" t="s">
        <v>261</v>
      </c>
      <c r="F88" s="14" t="s">
        <v>301</v>
      </c>
      <c r="G88" s="14" t="s">
        <v>452</v>
      </c>
      <c r="H88" s="14"/>
      <c r="I88" s="14" t="s">
        <v>404</v>
      </c>
      <c r="J88" s="14" t="s">
        <v>453</v>
      </c>
      <c r="K88" s="14"/>
      <c r="L88" s="14" t="s">
        <v>98</v>
      </c>
      <c r="M88" s="19" t="s">
        <v>262</v>
      </c>
    </row>
    <row r="89" spans="1:13">
      <c r="A89" s="30" t="s">
        <v>258</v>
      </c>
      <c r="B89" s="14" t="s">
        <v>454</v>
      </c>
      <c r="C89" s="14" t="s">
        <v>455</v>
      </c>
      <c r="D89" s="14" t="s">
        <v>300</v>
      </c>
      <c r="E89" s="14" t="s">
        <v>456</v>
      </c>
      <c r="F89" s="14" t="s">
        <v>295</v>
      </c>
      <c r="G89" s="14"/>
      <c r="H89" s="14"/>
      <c r="I89" s="14"/>
      <c r="J89" s="14"/>
      <c r="K89" s="14"/>
      <c r="L89" s="14"/>
      <c r="M89" s="19"/>
    </row>
    <row r="90" spans="1:13">
      <c r="A90" s="30" t="s">
        <v>122</v>
      </c>
      <c r="B90" s="14" t="s">
        <v>123</v>
      </c>
      <c r="C90" s="14" t="s">
        <v>124</v>
      </c>
      <c r="D90" s="14" t="s">
        <v>374</v>
      </c>
      <c r="E90" s="14" t="s">
        <v>125</v>
      </c>
      <c r="F90" s="14" t="s">
        <v>295</v>
      </c>
      <c r="G90" s="14"/>
      <c r="H90" s="14" t="s">
        <v>457</v>
      </c>
      <c r="I90" s="14"/>
      <c r="J90" s="14"/>
      <c r="K90" s="14" t="s">
        <v>458</v>
      </c>
      <c r="L90" s="14" t="s">
        <v>90</v>
      </c>
      <c r="M90" s="19" t="s">
        <v>126</v>
      </c>
    </row>
    <row r="91" spans="1:13">
      <c r="A91" s="30" t="s">
        <v>127</v>
      </c>
      <c r="B91" s="14" t="s">
        <v>165</v>
      </c>
      <c r="C91" s="14" t="s">
        <v>166</v>
      </c>
      <c r="D91" s="14" t="s">
        <v>374</v>
      </c>
      <c r="E91" s="14" t="s">
        <v>167</v>
      </c>
      <c r="F91" s="14" t="s">
        <v>295</v>
      </c>
      <c r="G91" s="14"/>
      <c r="H91" s="14" t="s">
        <v>459</v>
      </c>
      <c r="I91" s="14"/>
      <c r="J91" s="14"/>
      <c r="K91" s="14" t="s">
        <v>460</v>
      </c>
      <c r="L91" s="14" t="s">
        <v>98</v>
      </c>
      <c r="M91" s="19" t="s">
        <v>168</v>
      </c>
    </row>
    <row r="92" spans="1:13" ht="22.8">
      <c r="A92" s="30" t="s">
        <v>127</v>
      </c>
      <c r="B92" s="14" t="s">
        <v>206</v>
      </c>
      <c r="C92" s="14" t="s">
        <v>213</v>
      </c>
      <c r="D92" s="14" t="s">
        <v>374</v>
      </c>
      <c r="E92" s="14" t="s">
        <v>212</v>
      </c>
      <c r="F92" s="14" t="s">
        <v>301</v>
      </c>
      <c r="G92" s="14"/>
      <c r="H92" s="14" t="s">
        <v>434</v>
      </c>
      <c r="I92" s="14" t="s">
        <v>331</v>
      </c>
      <c r="J92" s="14"/>
      <c r="K92" s="14" t="s">
        <v>435</v>
      </c>
      <c r="L92" s="14" t="s">
        <v>333</v>
      </c>
      <c r="M92" s="19" t="s">
        <v>210</v>
      </c>
    </row>
    <row r="93" spans="1:13" ht="22.8">
      <c r="A93" s="30" t="s">
        <v>127</v>
      </c>
      <c r="B93" s="14" t="s">
        <v>200</v>
      </c>
      <c r="C93" s="14" t="s">
        <v>204</v>
      </c>
      <c r="D93" s="14" t="s">
        <v>374</v>
      </c>
      <c r="E93" s="14" t="s">
        <v>202</v>
      </c>
      <c r="F93" s="14" t="s">
        <v>295</v>
      </c>
      <c r="G93" s="14"/>
      <c r="H93" s="14" t="s">
        <v>436</v>
      </c>
      <c r="I93" s="14"/>
      <c r="J93" s="14"/>
      <c r="K93" s="14" t="s">
        <v>437</v>
      </c>
      <c r="L93" s="14" t="s">
        <v>90</v>
      </c>
      <c r="M93" s="19" t="s">
        <v>203</v>
      </c>
    </row>
    <row r="94" spans="1:13">
      <c r="A94" s="30" t="s">
        <v>127</v>
      </c>
      <c r="B94" s="14" t="s">
        <v>191</v>
      </c>
      <c r="C94" s="14" t="s">
        <v>192</v>
      </c>
      <c r="D94" s="14" t="s">
        <v>374</v>
      </c>
      <c r="E94" s="14" t="s">
        <v>193</v>
      </c>
      <c r="F94" s="14" t="s">
        <v>295</v>
      </c>
      <c r="G94" s="14"/>
      <c r="H94" s="14" t="s">
        <v>461</v>
      </c>
      <c r="I94" s="14"/>
      <c r="J94" s="14"/>
      <c r="K94" s="14" t="s">
        <v>462</v>
      </c>
      <c r="L94" s="14" t="s">
        <v>90</v>
      </c>
      <c r="M94" s="19" t="s">
        <v>194</v>
      </c>
    </row>
    <row r="95" spans="1:13">
      <c r="A95" s="30" t="s">
        <v>127</v>
      </c>
      <c r="B95" s="14" t="s">
        <v>128</v>
      </c>
      <c r="C95" s="14" t="s">
        <v>129</v>
      </c>
      <c r="D95" s="14" t="s">
        <v>374</v>
      </c>
      <c r="E95" s="14" t="s">
        <v>130</v>
      </c>
      <c r="F95" s="14" t="s">
        <v>295</v>
      </c>
      <c r="G95" s="14"/>
      <c r="H95" s="14" t="s">
        <v>412</v>
      </c>
      <c r="I95" s="14"/>
      <c r="J95" s="14"/>
      <c r="K95" s="14" t="s">
        <v>463</v>
      </c>
      <c r="L95" s="14" t="s">
        <v>98</v>
      </c>
      <c r="M95" s="19" t="s">
        <v>132</v>
      </c>
    </row>
    <row r="96" spans="1:13" ht="22.8">
      <c r="A96" s="30" t="s">
        <v>127</v>
      </c>
      <c r="B96" s="14" t="s">
        <v>182</v>
      </c>
      <c r="C96" s="14" t="s">
        <v>183</v>
      </c>
      <c r="D96" s="14" t="s">
        <v>374</v>
      </c>
      <c r="E96" s="14" t="s">
        <v>184</v>
      </c>
      <c r="F96" s="14" t="s">
        <v>295</v>
      </c>
      <c r="G96" s="14"/>
      <c r="H96" s="14" t="s">
        <v>379</v>
      </c>
      <c r="I96" s="14"/>
      <c r="J96" s="14"/>
      <c r="K96" s="14" t="s">
        <v>380</v>
      </c>
      <c r="L96" s="14" t="s">
        <v>90</v>
      </c>
      <c r="M96" s="19" t="s">
        <v>185</v>
      </c>
    </row>
    <row r="97" spans="1:13">
      <c r="A97" s="30" t="s">
        <v>216</v>
      </c>
      <c r="B97" s="14" t="s">
        <v>191</v>
      </c>
      <c r="C97" s="14" t="s">
        <v>218</v>
      </c>
      <c r="D97" s="14" t="s">
        <v>300</v>
      </c>
      <c r="E97" s="14" t="s">
        <v>253</v>
      </c>
      <c r="F97" s="14" t="s">
        <v>301</v>
      </c>
      <c r="G97" s="14" t="s">
        <v>330</v>
      </c>
      <c r="H97" s="14"/>
      <c r="I97" s="14" t="s">
        <v>336</v>
      </c>
      <c r="J97" s="14" t="s">
        <v>332</v>
      </c>
      <c r="K97" s="14"/>
      <c r="L97" s="14" t="s">
        <v>98</v>
      </c>
      <c r="M97" s="19" t="s">
        <v>194</v>
      </c>
    </row>
    <row r="98" spans="1:13">
      <c r="A98" s="30" t="s">
        <v>216</v>
      </c>
      <c r="B98" s="14" t="s">
        <v>361</v>
      </c>
      <c r="C98" s="14" t="s">
        <v>218</v>
      </c>
      <c r="D98" s="14" t="s">
        <v>300</v>
      </c>
      <c r="E98" s="14" t="s">
        <v>320</v>
      </c>
      <c r="F98" s="14" t="s">
        <v>295</v>
      </c>
      <c r="G98" s="14"/>
      <c r="H98" s="14"/>
      <c r="I98" s="14"/>
      <c r="J98" s="14"/>
      <c r="K98" s="14"/>
      <c r="L98" s="14"/>
      <c r="M98" s="19"/>
    </row>
    <row r="99" spans="1:13">
      <c r="A99" s="30" t="s">
        <v>216</v>
      </c>
      <c r="B99" s="14" t="s">
        <v>464</v>
      </c>
      <c r="C99" s="14" t="s">
        <v>218</v>
      </c>
      <c r="D99" s="14" t="s">
        <v>300</v>
      </c>
      <c r="E99" s="14" t="s">
        <v>465</v>
      </c>
      <c r="F99" s="14" t="s">
        <v>295</v>
      </c>
      <c r="G99" s="14"/>
      <c r="H99" s="14"/>
      <c r="I99" s="14"/>
      <c r="J99" s="14"/>
      <c r="K99" s="14"/>
      <c r="L99" s="14"/>
      <c r="M99" s="19"/>
    </row>
    <row r="100" spans="1:13" ht="22.8">
      <c r="A100" s="30" t="s">
        <v>216</v>
      </c>
      <c r="B100" s="14" t="s">
        <v>250</v>
      </c>
      <c r="C100" s="14" t="s">
        <v>218</v>
      </c>
      <c r="D100" s="14" t="s">
        <v>300</v>
      </c>
      <c r="E100" s="14" t="s">
        <v>251</v>
      </c>
      <c r="F100" s="14" t="s">
        <v>301</v>
      </c>
      <c r="G100" s="14" t="s">
        <v>403</v>
      </c>
      <c r="H100" s="14"/>
      <c r="I100" s="14" t="s">
        <v>466</v>
      </c>
      <c r="J100" s="14" t="s">
        <v>405</v>
      </c>
      <c r="K100" s="14"/>
      <c r="L100" s="14" t="s">
        <v>98</v>
      </c>
      <c r="M100" s="19" t="s">
        <v>252</v>
      </c>
    </row>
    <row r="101" spans="1:13" ht="22.8">
      <c r="A101" s="30" t="s">
        <v>216</v>
      </c>
      <c r="B101" s="14" t="s">
        <v>217</v>
      </c>
      <c r="C101" s="14" t="s">
        <v>218</v>
      </c>
      <c r="D101" s="14" t="s">
        <v>300</v>
      </c>
      <c r="E101" s="14" t="s">
        <v>219</v>
      </c>
      <c r="F101" s="14" t="s">
        <v>301</v>
      </c>
      <c r="G101" s="14" t="s">
        <v>467</v>
      </c>
      <c r="H101" s="14"/>
      <c r="I101" s="14" t="s">
        <v>468</v>
      </c>
      <c r="J101" s="14" t="s">
        <v>469</v>
      </c>
      <c r="K101" s="14"/>
      <c r="L101" s="14" t="s">
        <v>470</v>
      </c>
      <c r="M101" s="19" t="s">
        <v>221</v>
      </c>
    </row>
    <row r="102" spans="1:13">
      <c r="A102" s="30" t="s">
        <v>216</v>
      </c>
      <c r="B102" s="14" t="s">
        <v>217</v>
      </c>
      <c r="C102" s="14" t="s">
        <v>218</v>
      </c>
      <c r="D102" s="14" t="s">
        <v>300</v>
      </c>
      <c r="E102" s="14" t="s">
        <v>471</v>
      </c>
      <c r="F102" s="14" t="s">
        <v>295</v>
      </c>
      <c r="G102" s="14"/>
      <c r="H102" s="14"/>
      <c r="I102" s="14"/>
      <c r="J102" s="14"/>
      <c r="K102" s="14"/>
      <c r="L102" s="14"/>
      <c r="M102" s="19"/>
    </row>
    <row r="103" spans="1:13">
      <c r="A103" s="30" t="s">
        <v>216</v>
      </c>
      <c r="B103" s="14" t="s">
        <v>265</v>
      </c>
      <c r="C103" s="14" t="s">
        <v>218</v>
      </c>
      <c r="D103" s="14" t="s">
        <v>300</v>
      </c>
      <c r="E103" s="14" t="s">
        <v>472</v>
      </c>
      <c r="F103" s="14" t="s">
        <v>295</v>
      </c>
      <c r="G103" s="14"/>
      <c r="H103" s="14"/>
      <c r="I103" s="14"/>
      <c r="J103" s="14"/>
      <c r="K103" s="14"/>
      <c r="L103" s="14"/>
      <c r="M103" s="19"/>
    </row>
    <row r="104" spans="1:13">
      <c r="A104" s="30" t="s">
        <v>216</v>
      </c>
      <c r="B104" s="14" t="s">
        <v>182</v>
      </c>
      <c r="C104" s="14" t="s">
        <v>218</v>
      </c>
      <c r="D104" s="14" t="s">
        <v>300</v>
      </c>
      <c r="E104" s="14" t="s">
        <v>320</v>
      </c>
      <c r="F104" s="14" t="s">
        <v>295</v>
      </c>
      <c r="G104" s="14"/>
      <c r="H104" s="14"/>
      <c r="I104" s="14"/>
      <c r="J104" s="14"/>
      <c r="K104" s="14"/>
      <c r="L104" s="14"/>
      <c r="M104" s="19"/>
    </row>
    <row r="105" spans="1:13">
      <c r="A105" s="30" t="s">
        <v>159</v>
      </c>
      <c r="B105" s="14" t="s">
        <v>246</v>
      </c>
      <c r="C105" s="14" t="s">
        <v>161</v>
      </c>
      <c r="D105" s="14" t="s">
        <v>300</v>
      </c>
      <c r="E105" s="14" t="s">
        <v>247</v>
      </c>
      <c r="F105" s="14" t="s">
        <v>301</v>
      </c>
      <c r="G105" s="14" t="s">
        <v>302</v>
      </c>
      <c r="H105" s="14"/>
      <c r="I105" s="14" t="s">
        <v>423</v>
      </c>
      <c r="J105" s="14" t="s">
        <v>473</v>
      </c>
      <c r="K105" s="14"/>
      <c r="L105" s="14" t="s">
        <v>98</v>
      </c>
      <c r="M105" s="19" t="s">
        <v>248</v>
      </c>
    </row>
    <row r="106" spans="1:13">
      <c r="A106" s="30" t="s">
        <v>159</v>
      </c>
      <c r="B106" s="14" t="s">
        <v>242</v>
      </c>
      <c r="C106" s="14" t="s">
        <v>474</v>
      </c>
      <c r="D106" s="14" t="s">
        <v>293</v>
      </c>
      <c r="E106" s="14" t="s">
        <v>475</v>
      </c>
      <c r="F106" s="14" t="s">
        <v>295</v>
      </c>
      <c r="G106" s="14"/>
      <c r="H106" s="14"/>
      <c r="I106" s="14"/>
      <c r="J106" s="14"/>
      <c r="K106" s="14"/>
      <c r="L106" s="14"/>
      <c r="M106" s="19"/>
    </row>
    <row r="107" spans="1:13">
      <c r="A107" s="30" t="s">
        <v>159</v>
      </c>
      <c r="B107" s="14" t="s">
        <v>431</v>
      </c>
      <c r="C107" s="14" t="s">
        <v>476</v>
      </c>
      <c r="D107" s="14" t="s">
        <v>300</v>
      </c>
      <c r="E107" s="14" t="s">
        <v>477</v>
      </c>
      <c r="F107" s="14" t="s">
        <v>295</v>
      </c>
      <c r="G107" s="14"/>
      <c r="H107" s="14"/>
      <c r="I107" s="14"/>
      <c r="J107" s="14"/>
      <c r="K107" s="14"/>
      <c r="L107" s="14"/>
      <c r="M107" s="19"/>
    </row>
    <row r="108" spans="1:13" ht="22.8">
      <c r="A108" s="30" t="s">
        <v>159</v>
      </c>
      <c r="B108" s="14" t="s">
        <v>160</v>
      </c>
      <c r="C108" s="14" t="s">
        <v>161</v>
      </c>
      <c r="D108" s="14" t="s">
        <v>300</v>
      </c>
      <c r="E108" s="14" t="s">
        <v>162</v>
      </c>
      <c r="F108" s="14" t="s">
        <v>301</v>
      </c>
      <c r="G108" s="14" t="s">
        <v>478</v>
      </c>
      <c r="H108" s="14"/>
      <c r="I108" s="14" t="s">
        <v>460</v>
      </c>
      <c r="J108" s="14" t="s">
        <v>479</v>
      </c>
      <c r="K108" s="14"/>
      <c r="L108" s="14" t="s">
        <v>480</v>
      </c>
      <c r="M108" s="19" t="s">
        <v>164</v>
      </c>
    </row>
    <row r="109" spans="1:13">
      <c r="A109" s="30" t="s">
        <v>159</v>
      </c>
      <c r="B109" s="14" t="s">
        <v>263</v>
      </c>
      <c r="C109" s="14" t="s">
        <v>264</v>
      </c>
      <c r="D109" s="14" t="s">
        <v>300</v>
      </c>
      <c r="E109" s="14" t="s">
        <v>261</v>
      </c>
      <c r="F109" s="14" t="s">
        <v>301</v>
      </c>
      <c r="G109" s="14" t="s">
        <v>452</v>
      </c>
      <c r="H109" s="14"/>
      <c r="I109" s="14" t="s">
        <v>404</v>
      </c>
      <c r="J109" s="14" t="s">
        <v>481</v>
      </c>
      <c r="K109" s="14"/>
      <c r="L109" s="14" t="s">
        <v>98</v>
      </c>
      <c r="M109" s="19" t="s">
        <v>262</v>
      </c>
    </row>
    <row r="110" spans="1:13">
      <c r="A110" s="30" t="s">
        <v>159</v>
      </c>
      <c r="B110" s="14" t="s">
        <v>191</v>
      </c>
      <c r="C110" s="14" t="s">
        <v>482</v>
      </c>
      <c r="D110" s="14" t="s">
        <v>293</v>
      </c>
      <c r="E110" s="14" t="s">
        <v>297</v>
      </c>
      <c r="F110" s="14" t="s">
        <v>295</v>
      </c>
      <c r="G110" s="14"/>
      <c r="H110" s="14"/>
      <c r="I110" s="14"/>
      <c r="J110" s="14"/>
      <c r="K110" s="14"/>
      <c r="L110" s="14"/>
      <c r="M110" s="19"/>
    </row>
    <row r="111" spans="1:13">
      <c r="A111" s="30" t="s">
        <v>196</v>
      </c>
      <c r="B111" s="14" t="s">
        <v>345</v>
      </c>
      <c r="C111" s="14" t="s">
        <v>483</v>
      </c>
      <c r="D111" s="14" t="s">
        <v>293</v>
      </c>
      <c r="E111" s="14" t="s">
        <v>294</v>
      </c>
      <c r="F111" s="14" t="s">
        <v>295</v>
      </c>
      <c r="G111" s="14"/>
      <c r="H111" s="14"/>
      <c r="I111" s="14"/>
      <c r="J111" s="14"/>
      <c r="K111" s="14"/>
      <c r="L111" s="14"/>
      <c r="M111" s="19"/>
    </row>
    <row r="112" spans="1:13">
      <c r="A112" s="30" t="s">
        <v>196</v>
      </c>
      <c r="B112" s="14" t="s">
        <v>291</v>
      </c>
      <c r="C112" s="14" t="s">
        <v>484</v>
      </c>
      <c r="D112" s="14" t="s">
        <v>293</v>
      </c>
      <c r="E112" s="14" t="s">
        <v>294</v>
      </c>
      <c r="F112" s="14" t="s">
        <v>295</v>
      </c>
      <c r="G112" s="14"/>
      <c r="H112" s="14"/>
      <c r="I112" s="14"/>
      <c r="J112" s="14"/>
      <c r="K112" s="14"/>
      <c r="L112" s="14"/>
      <c r="M112" s="19"/>
    </row>
    <row r="113" spans="1:13">
      <c r="A113" s="30" t="s">
        <v>196</v>
      </c>
      <c r="B113" s="14" t="s">
        <v>139</v>
      </c>
      <c r="C113" s="14" t="s">
        <v>197</v>
      </c>
      <c r="D113" s="14" t="s">
        <v>300</v>
      </c>
      <c r="E113" s="14" t="s">
        <v>485</v>
      </c>
      <c r="F113" s="14" t="s">
        <v>295</v>
      </c>
      <c r="G113" s="14"/>
      <c r="H113" s="14"/>
      <c r="I113" s="14"/>
      <c r="J113" s="14"/>
      <c r="K113" s="14"/>
      <c r="L113" s="14"/>
      <c r="M113" s="19"/>
    </row>
    <row r="114" spans="1:13" ht="22.8">
      <c r="A114" s="30" t="s">
        <v>196</v>
      </c>
      <c r="B114" s="14" t="s">
        <v>139</v>
      </c>
      <c r="C114" s="14" t="s">
        <v>197</v>
      </c>
      <c r="D114" s="14" t="s">
        <v>300</v>
      </c>
      <c r="E114" s="14" t="s">
        <v>198</v>
      </c>
      <c r="F114" s="14" t="s">
        <v>301</v>
      </c>
      <c r="G114" s="14" t="s">
        <v>486</v>
      </c>
      <c r="H114" s="14"/>
      <c r="I114" s="14" t="s">
        <v>487</v>
      </c>
      <c r="J114" s="14" t="s">
        <v>423</v>
      </c>
      <c r="K114" s="14"/>
      <c r="L114" s="14" t="s">
        <v>98</v>
      </c>
      <c r="M114" s="19" t="s">
        <v>142</v>
      </c>
    </row>
    <row r="115" spans="1:13">
      <c r="A115" s="30" t="s">
        <v>196</v>
      </c>
      <c r="B115" s="14" t="s">
        <v>182</v>
      </c>
      <c r="C115" s="14" t="s">
        <v>488</v>
      </c>
      <c r="D115" s="14" t="s">
        <v>300</v>
      </c>
      <c r="E115" s="14" t="s">
        <v>320</v>
      </c>
      <c r="F115" s="14" t="s">
        <v>295</v>
      </c>
      <c r="G115" s="14"/>
      <c r="H115" s="14"/>
      <c r="I115" s="14"/>
      <c r="J115" s="14"/>
      <c r="K115" s="14"/>
      <c r="L115" s="14"/>
      <c r="M115" s="19"/>
    </row>
    <row r="116" spans="1:13">
      <c r="A116" s="31" t="s">
        <v>196</v>
      </c>
      <c r="B116" s="22" t="s">
        <v>401</v>
      </c>
      <c r="C116" s="22" t="s">
        <v>489</v>
      </c>
      <c r="D116" s="22" t="s">
        <v>293</v>
      </c>
      <c r="E116" s="22" t="s">
        <v>297</v>
      </c>
      <c r="F116" s="22" t="s">
        <v>295</v>
      </c>
      <c r="G116" s="22"/>
      <c r="H116" s="22"/>
      <c r="I116" s="22"/>
      <c r="J116" s="22"/>
      <c r="K116" s="22"/>
      <c r="L116" s="22"/>
      <c r="M116" s="23"/>
    </row>
  </sheetData>
  <mergeCells count="2">
    <mergeCell ref="A1:M1"/>
    <mergeCell ref="A2:M2"/>
  </mergeCells>
  <phoneticPr fontId="1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"/>
  <sheetViews>
    <sheetView tabSelected="1" workbookViewId="0">
      <selection activeCell="C30" sqref="C30"/>
    </sheetView>
  </sheetViews>
  <sheetFormatPr defaultRowHeight="13.8"/>
  <cols>
    <col min="1" max="1" width="26" customWidth="1"/>
    <col min="2" max="2" width="32" customWidth="1"/>
    <col min="3" max="3" width="52" customWidth="1"/>
    <col min="4" max="4" width="58" customWidth="1"/>
  </cols>
  <sheetData>
    <row r="1" spans="1:4" ht="25.65" customHeight="1">
      <c r="A1" s="41" t="s">
        <v>490</v>
      </c>
      <c r="B1" s="41"/>
      <c r="C1" s="41"/>
      <c r="D1" s="41"/>
    </row>
    <row r="2" spans="1:4" ht="22.35" customHeight="1">
      <c r="A2" s="40" t="s">
        <v>491</v>
      </c>
      <c r="B2" s="40"/>
      <c r="C2" s="40"/>
      <c r="D2" s="40"/>
    </row>
    <row r="4" spans="1:4">
      <c r="A4" s="32" t="s">
        <v>77</v>
      </c>
      <c r="B4" s="33" t="s">
        <v>82</v>
      </c>
      <c r="C4" s="33" t="s">
        <v>81</v>
      </c>
      <c r="D4" s="34" t="s">
        <v>492</v>
      </c>
    </row>
    <row r="5" spans="1:4" ht="22.8">
      <c r="A5" s="30" t="s">
        <v>223</v>
      </c>
      <c r="B5" s="14" t="s">
        <v>305</v>
      </c>
      <c r="C5" s="14" t="s">
        <v>269</v>
      </c>
      <c r="D5" s="19" t="s">
        <v>226</v>
      </c>
    </row>
    <row r="6" spans="1:4">
      <c r="A6" s="30" t="s">
        <v>242</v>
      </c>
      <c r="B6" s="14" t="s">
        <v>98</v>
      </c>
      <c r="C6" s="14"/>
      <c r="D6" s="19" t="s">
        <v>245</v>
      </c>
    </row>
    <row r="7" spans="1:4">
      <c r="A7" s="30" t="s">
        <v>144</v>
      </c>
      <c r="B7" s="14" t="s">
        <v>90</v>
      </c>
      <c r="C7" s="14" t="s">
        <v>147</v>
      </c>
      <c r="D7" s="19" t="s">
        <v>148</v>
      </c>
    </row>
    <row r="8" spans="1:4">
      <c r="A8" s="30" t="s">
        <v>182</v>
      </c>
      <c r="B8" s="14" t="s">
        <v>90</v>
      </c>
      <c r="C8" s="14"/>
      <c r="D8" s="19" t="s">
        <v>185</v>
      </c>
    </row>
    <row r="9" spans="1:4">
      <c r="A9" s="30" t="s">
        <v>263</v>
      </c>
      <c r="B9" s="14" t="s">
        <v>98</v>
      </c>
      <c r="C9" s="14" t="s">
        <v>275</v>
      </c>
      <c r="D9" s="19" t="s">
        <v>262</v>
      </c>
    </row>
    <row r="10" spans="1:4">
      <c r="A10" s="30" t="s">
        <v>259</v>
      </c>
      <c r="B10" s="14" t="s">
        <v>98</v>
      </c>
      <c r="C10" s="14" t="s">
        <v>273</v>
      </c>
      <c r="D10" s="19" t="s">
        <v>262</v>
      </c>
    </row>
    <row r="11" spans="1:4" ht="22.8">
      <c r="A11" s="30" t="s">
        <v>139</v>
      </c>
      <c r="B11" s="14" t="s">
        <v>98</v>
      </c>
      <c r="C11" s="14"/>
      <c r="D11" s="19" t="s">
        <v>142</v>
      </c>
    </row>
    <row r="12" spans="1:4" ht="22.8">
      <c r="A12" s="30" t="s">
        <v>154</v>
      </c>
      <c r="B12" s="14" t="s">
        <v>98</v>
      </c>
      <c r="C12" s="14"/>
      <c r="D12" s="19" t="s">
        <v>157</v>
      </c>
    </row>
    <row r="13" spans="1:4">
      <c r="A13" s="30" t="s">
        <v>123</v>
      </c>
      <c r="B13" s="14" t="s">
        <v>90</v>
      </c>
      <c r="C13" s="14"/>
      <c r="D13" s="19" t="s">
        <v>126</v>
      </c>
    </row>
    <row r="14" spans="1:4">
      <c r="A14" s="30" t="s">
        <v>149</v>
      </c>
      <c r="B14" s="14" t="s">
        <v>90</v>
      </c>
      <c r="C14" s="14"/>
      <c r="D14" s="19" t="s">
        <v>152</v>
      </c>
    </row>
    <row r="15" spans="1:4">
      <c r="A15" s="30" t="s">
        <v>186</v>
      </c>
      <c r="B15" s="14" t="s">
        <v>98</v>
      </c>
      <c r="C15" s="14"/>
      <c r="D15" s="19" t="s">
        <v>189</v>
      </c>
    </row>
    <row r="16" spans="1:4">
      <c r="A16" s="30" t="s">
        <v>165</v>
      </c>
      <c r="B16" s="14" t="s">
        <v>98</v>
      </c>
      <c r="C16" s="14"/>
      <c r="D16" s="19" t="s">
        <v>168</v>
      </c>
    </row>
    <row r="17" spans="1:4">
      <c r="A17" s="30" t="s">
        <v>108</v>
      </c>
      <c r="B17" s="14" t="s">
        <v>333</v>
      </c>
      <c r="C17" s="14" t="s">
        <v>111</v>
      </c>
      <c r="D17" s="19" t="s">
        <v>113</v>
      </c>
    </row>
    <row r="18" spans="1:4">
      <c r="A18" s="30" t="s">
        <v>236</v>
      </c>
      <c r="B18" s="14" t="s">
        <v>98</v>
      </c>
      <c r="C18" s="14"/>
      <c r="D18" s="19" t="s">
        <v>239</v>
      </c>
    </row>
    <row r="19" spans="1:4" ht="22.8">
      <c r="A19" s="30" t="s">
        <v>246</v>
      </c>
      <c r="B19" s="14" t="s">
        <v>98</v>
      </c>
      <c r="C19" s="14" t="s">
        <v>493</v>
      </c>
      <c r="D19" s="19" t="s">
        <v>248</v>
      </c>
    </row>
    <row r="20" spans="1:4">
      <c r="A20" s="30" t="s">
        <v>254</v>
      </c>
      <c r="B20" s="14" t="s">
        <v>98</v>
      </c>
      <c r="C20" s="14"/>
      <c r="D20" s="19" t="s">
        <v>257</v>
      </c>
    </row>
    <row r="21" spans="1:4">
      <c r="A21" s="30" t="s">
        <v>178</v>
      </c>
      <c r="B21" s="14" t="s">
        <v>90</v>
      </c>
      <c r="C21" s="14"/>
      <c r="D21" s="19" t="s">
        <v>181</v>
      </c>
    </row>
    <row r="22" spans="1:4">
      <c r="A22" s="30" t="s">
        <v>114</v>
      </c>
      <c r="B22" s="14" t="s">
        <v>98</v>
      </c>
      <c r="C22" s="14" t="s">
        <v>116</v>
      </c>
      <c r="D22" s="19" t="s">
        <v>117</v>
      </c>
    </row>
    <row r="23" spans="1:4" ht="22.8">
      <c r="A23" s="30" t="s">
        <v>160</v>
      </c>
      <c r="B23" s="14" t="s">
        <v>480</v>
      </c>
      <c r="C23" s="14"/>
      <c r="D23" s="19" t="s">
        <v>164</v>
      </c>
    </row>
    <row r="24" spans="1:4">
      <c r="A24" s="30" t="s">
        <v>87</v>
      </c>
      <c r="B24" s="14" t="s">
        <v>90</v>
      </c>
      <c r="C24" s="14"/>
      <c r="D24" s="19" t="s">
        <v>91</v>
      </c>
    </row>
    <row r="25" spans="1:4">
      <c r="A25" s="30" t="s">
        <v>128</v>
      </c>
      <c r="B25" s="14" t="s">
        <v>98</v>
      </c>
      <c r="C25" s="14" t="s">
        <v>131</v>
      </c>
      <c r="D25" s="19" t="s">
        <v>132</v>
      </c>
    </row>
    <row r="26" spans="1:4">
      <c r="A26" s="30" t="s">
        <v>118</v>
      </c>
      <c r="B26" s="14" t="s">
        <v>98</v>
      </c>
      <c r="C26" s="14"/>
      <c r="D26" s="19" t="s">
        <v>121</v>
      </c>
    </row>
    <row r="27" spans="1:4">
      <c r="A27" s="30" t="s">
        <v>95</v>
      </c>
      <c r="B27" s="14" t="s">
        <v>98</v>
      </c>
      <c r="C27" s="14" t="s">
        <v>137</v>
      </c>
      <c r="D27" s="19" t="s">
        <v>99</v>
      </c>
    </row>
    <row r="28" spans="1:4" ht="22.8">
      <c r="A28" s="30" t="s">
        <v>250</v>
      </c>
      <c r="B28" s="14" t="s">
        <v>98</v>
      </c>
      <c r="C28" s="14"/>
      <c r="D28" s="19" t="s">
        <v>252</v>
      </c>
    </row>
    <row r="29" spans="1:4" ht="22.8">
      <c r="A29" s="30" t="s">
        <v>217</v>
      </c>
      <c r="B29" s="14" t="s">
        <v>470</v>
      </c>
      <c r="C29" s="14"/>
      <c r="D29" s="19" t="s">
        <v>221</v>
      </c>
    </row>
    <row r="30" spans="1:4">
      <c r="A30" s="30" t="s">
        <v>101</v>
      </c>
      <c r="B30" s="14" t="s">
        <v>90</v>
      </c>
      <c r="C30" s="14"/>
      <c r="D30" s="19" t="s">
        <v>105</v>
      </c>
    </row>
    <row r="31" spans="1:4">
      <c r="A31" s="30" t="s">
        <v>206</v>
      </c>
      <c r="B31" s="14" t="s">
        <v>333</v>
      </c>
      <c r="C31" s="14"/>
      <c r="D31" s="19" t="s">
        <v>210</v>
      </c>
    </row>
    <row r="32" spans="1:4" ht="22.8">
      <c r="A32" s="30" t="s">
        <v>200</v>
      </c>
      <c r="B32" s="14" t="s">
        <v>494</v>
      </c>
      <c r="C32" s="14"/>
      <c r="D32" s="19" t="s">
        <v>203</v>
      </c>
    </row>
    <row r="33" spans="1:4">
      <c r="A33" s="30" t="s">
        <v>265</v>
      </c>
      <c r="B33" s="14" t="s">
        <v>98</v>
      </c>
      <c r="C33" s="14"/>
      <c r="D33" s="19" t="s">
        <v>268</v>
      </c>
    </row>
    <row r="34" spans="1:4">
      <c r="A34" s="30" t="s">
        <v>170</v>
      </c>
      <c r="B34" s="14" t="s">
        <v>90</v>
      </c>
      <c r="C34" s="14"/>
      <c r="D34" s="19" t="s">
        <v>173</v>
      </c>
    </row>
    <row r="35" spans="1:4" ht="22.8">
      <c r="A35" s="30" t="s">
        <v>191</v>
      </c>
      <c r="B35" s="14" t="s">
        <v>494</v>
      </c>
      <c r="C35" s="14"/>
      <c r="D35" s="19" t="s">
        <v>194</v>
      </c>
    </row>
    <row r="36" spans="1:4" ht="22.8">
      <c r="A36" s="31" t="s">
        <v>174</v>
      </c>
      <c r="B36" s="22" t="s">
        <v>98</v>
      </c>
      <c r="C36" s="22"/>
      <c r="D36" s="23" t="s">
        <v>177</v>
      </c>
    </row>
  </sheetData>
  <mergeCells count="2">
    <mergeCell ref="A1:D1"/>
    <mergeCell ref="A2:D2"/>
  </mergeCells>
  <phoneticPr fontId="1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10월 달력</vt:lpstr>
      <vt:lpstr>11월 달력</vt:lpstr>
      <vt:lpstr>전체 일정</vt:lpstr>
      <vt:lpstr>12월 이후</vt:lpstr>
      <vt:lpstr>지원 목록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2026-09-23T07:19:34Z</cp:lastPrinted>
  <dcterms:modified xsi:type="dcterms:W3CDTF">2026-09-23T07:19:47Z</dcterms:modified>
</cp:coreProperties>
</file>